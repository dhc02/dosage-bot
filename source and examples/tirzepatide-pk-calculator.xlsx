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clapp\Downloads\Telegram Desktop\"/>
    </mc:Choice>
  </mc:AlternateContent>
  <xr:revisionPtr revIDLastSave="0" documentId="13_ncr:1_{ED067162-2708-42A6-86FC-7AF161FF9770}" xr6:coauthVersionLast="47" xr6:coauthVersionMax="47" xr10:uidLastSave="{00000000-0000-0000-0000-000000000000}"/>
  <bookViews>
    <workbookView xWindow="8" yWindow="8" windowWidth="28784" windowHeight="17265" xr2:uid="{00000000-000D-0000-FFFF-FFFF00000000}"/>
  </bookViews>
  <sheets>
    <sheet name="Dose Schedule" sheetId="1" r:id="rId1"/>
    <sheet name="Scenario Comparison" sheetId="2" r:id="rId2"/>
    <sheet name="Summary 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9" i="1" l="1"/>
  <c r="G99" i="1"/>
  <c r="H98" i="1"/>
  <c r="G98" i="1"/>
  <c r="H97" i="1"/>
  <c r="G97" i="1"/>
  <c r="H96" i="1"/>
  <c r="G96" i="1"/>
  <c r="H95" i="1"/>
  <c r="G95" i="1"/>
  <c r="H93" i="1"/>
  <c r="G93" i="1"/>
  <c r="H92" i="1"/>
  <c r="G92" i="1"/>
  <c r="H91" i="1"/>
  <c r="G91" i="1"/>
  <c r="H90" i="1"/>
  <c r="G90" i="1"/>
  <c r="H89" i="1"/>
  <c r="G89" i="1"/>
  <c r="H88" i="1"/>
  <c r="G88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2" i="1"/>
  <c r="G72" i="1"/>
  <c r="H71" i="1"/>
  <c r="G71" i="1"/>
  <c r="H70" i="1"/>
  <c r="G70" i="1"/>
  <c r="H69" i="1"/>
  <c r="G69" i="1"/>
  <c r="H68" i="1"/>
  <c r="G68" i="1"/>
  <c r="H67" i="1"/>
  <c r="G67" i="1"/>
  <c r="H65" i="1"/>
  <c r="G65" i="1"/>
  <c r="H64" i="1"/>
  <c r="G64" i="1"/>
  <c r="H63" i="1"/>
  <c r="G63" i="1"/>
  <c r="H62" i="1"/>
  <c r="G62" i="1"/>
  <c r="H61" i="1"/>
  <c r="G61" i="1"/>
  <c r="H60" i="1"/>
  <c r="G60" i="1"/>
  <c r="H58" i="1"/>
  <c r="G58" i="1"/>
  <c r="H57" i="1"/>
  <c r="G57" i="1"/>
  <c r="H56" i="1"/>
  <c r="G56" i="1"/>
  <c r="H55" i="1"/>
  <c r="G55" i="1"/>
  <c r="H54" i="1"/>
  <c r="G54" i="1"/>
  <c r="H53" i="1"/>
  <c r="G53" i="1"/>
  <c r="H51" i="1"/>
  <c r="G51" i="1"/>
  <c r="H50" i="1"/>
  <c r="G50" i="1"/>
  <c r="H49" i="1"/>
  <c r="G49" i="1"/>
  <c r="H48" i="1"/>
  <c r="G48" i="1"/>
  <c r="H47" i="1"/>
  <c r="G47" i="1"/>
  <c r="H46" i="1"/>
  <c r="G46" i="1"/>
  <c r="H44" i="1"/>
  <c r="G44" i="1"/>
  <c r="H43" i="1"/>
  <c r="G43" i="1"/>
  <c r="H42" i="1"/>
  <c r="G42" i="1"/>
  <c r="H41" i="1"/>
  <c r="G41" i="1"/>
  <c r="H40" i="1"/>
  <c r="G40" i="1"/>
  <c r="H39" i="1"/>
  <c r="G39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H27" i="1"/>
  <c r="G27" i="1"/>
  <c r="H26" i="1"/>
  <c r="G26" i="1"/>
  <c r="H23" i="1"/>
  <c r="G23" i="1"/>
  <c r="H21" i="1"/>
  <c r="G21" i="1"/>
  <c r="H18" i="1"/>
  <c r="G18" i="1"/>
  <c r="H15" i="1"/>
  <c r="G15" i="1"/>
  <c r="H14" i="1"/>
  <c r="G14" i="1"/>
  <c r="H13" i="1"/>
  <c r="G13" i="1"/>
  <c r="H12" i="1"/>
  <c r="G12" i="1"/>
  <c r="H11" i="1"/>
  <c r="G11" i="1"/>
  <c r="H10" i="1"/>
  <c r="F10" i="1"/>
  <c r="C5" i="1"/>
  <c r="E11" i="1" l="1"/>
  <c r="I10" i="1"/>
  <c r="G10" i="1"/>
  <c r="F11" i="1" l="1"/>
  <c r="E12" i="1" s="1"/>
  <c r="I11" i="1"/>
  <c r="F12" i="1" l="1"/>
  <c r="E13" i="1" s="1"/>
  <c r="I12" i="1"/>
  <c r="F13" i="1" l="1"/>
  <c r="E14" i="1" s="1"/>
  <c r="I13" i="1"/>
  <c r="F14" i="1" l="1"/>
  <c r="E15" i="1" s="1"/>
  <c r="I14" i="1"/>
  <c r="F15" i="1" l="1"/>
  <c r="E16" i="1" s="1"/>
  <c r="H16" i="1" s="1"/>
  <c r="I15" i="1"/>
  <c r="F16" i="1" l="1"/>
  <c r="E17" i="1" l="1"/>
  <c r="F17" i="1" s="1"/>
  <c r="I17" i="1" s="1"/>
  <c r="I16" i="1"/>
  <c r="G16" i="1"/>
  <c r="H17" i="1"/>
  <c r="G17" i="1" l="1"/>
  <c r="E18" i="1"/>
  <c r="F18" i="1" l="1"/>
  <c r="E19" i="1" s="1"/>
  <c r="H19" i="1" s="1"/>
  <c r="I18" i="1"/>
  <c r="F19" i="1" l="1"/>
  <c r="I19" i="1"/>
  <c r="E20" i="1" l="1"/>
  <c r="G19" i="1"/>
  <c r="H20" i="1" l="1"/>
  <c r="F20" i="1"/>
  <c r="I20" i="1" l="1"/>
  <c r="E21" i="1"/>
  <c r="G20" i="1"/>
  <c r="F21" i="1" l="1"/>
  <c r="E22" i="1" s="1"/>
  <c r="I21" i="1"/>
  <c r="H22" i="1"/>
  <c r="G22" i="1"/>
  <c r="I22" i="1" l="1"/>
  <c r="F22" i="1"/>
  <c r="E23" i="1" s="1"/>
  <c r="F23" i="1" l="1"/>
  <c r="E24" i="1" s="1"/>
  <c r="I23" i="1"/>
  <c r="F24" i="1"/>
  <c r="G24" i="1" s="1"/>
  <c r="H24" i="1"/>
  <c r="I24" i="1" l="1"/>
  <c r="E25" i="1"/>
  <c r="H25" i="1" l="1"/>
  <c r="F25" i="1"/>
  <c r="E26" i="1" s="1"/>
  <c r="I25" i="1"/>
  <c r="G25" i="1"/>
  <c r="F26" i="1" l="1"/>
  <c r="E27" i="1" s="1"/>
  <c r="I26" i="1"/>
  <c r="F27" i="1" l="1"/>
  <c r="E28" i="1" s="1"/>
  <c r="I27" i="1"/>
  <c r="F28" i="1" l="1"/>
  <c r="E29" i="1" l="1"/>
  <c r="I28" i="1"/>
  <c r="G28" i="1"/>
  <c r="F29" i="1"/>
  <c r="E30" i="1" s="1"/>
  <c r="I29" i="1"/>
  <c r="F30" i="1" l="1"/>
  <c r="E31" i="1" s="1"/>
  <c r="I30" i="1"/>
  <c r="F31" i="1" l="1"/>
  <c r="G31" i="1" s="1"/>
  <c r="H31" i="1"/>
  <c r="I31" i="1" l="1"/>
  <c r="E32" i="1"/>
  <c r="F32" i="1" l="1"/>
  <c r="E33" i="1" s="1"/>
  <c r="I32" i="1"/>
  <c r="I33" i="1" l="1"/>
  <c r="F33" i="1"/>
  <c r="E34" i="1" s="1"/>
  <c r="F34" i="1" l="1"/>
  <c r="E35" i="1" s="1"/>
  <c r="I34" i="1"/>
  <c r="I35" i="1" l="1"/>
  <c r="F35" i="1"/>
  <c r="E36" i="1" s="1"/>
  <c r="F36" i="1" l="1"/>
  <c r="E37" i="1" s="1"/>
  <c r="I36" i="1"/>
  <c r="I37" i="1" l="1"/>
  <c r="F37" i="1"/>
  <c r="E38" i="1" s="1"/>
  <c r="F38" i="1" s="1"/>
  <c r="I38" i="1" s="1"/>
  <c r="H38" i="1"/>
  <c r="E39" i="1" l="1"/>
  <c r="G38" i="1"/>
  <c r="I39" i="1" l="1"/>
  <c r="F39" i="1"/>
  <c r="E40" i="1" s="1"/>
  <c r="F40" i="1" l="1"/>
  <c r="E41" i="1" s="1"/>
  <c r="I40" i="1"/>
  <c r="I41" i="1" l="1"/>
  <c r="F41" i="1"/>
  <c r="E42" i="1" s="1"/>
  <c r="I42" i="1" l="1"/>
  <c r="F42" i="1"/>
  <c r="E43" i="1" s="1"/>
  <c r="I43" i="1" l="1"/>
  <c r="F43" i="1"/>
  <c r="E44" i="1" s="1"/>
  <c r="I44" i="1" l="1"/>
  <c r="F44" i="1"/>
  <c r="E45" i="1" s="1"/>
  <c r="F45" i="1" l="1"/>
  <c r="I45" i="1" s="1"/>
  <c r="H45" i="1"/>
  <c r="E46" i="1" l="1"/>
  <c r="G45" i="1"/>
  <c r="F46" i="1" l="1"/>
  <c r="E47" i="1" s="1"/>
  <c r="I46" i="1"/>
  <c r="I47" i="1" l="1"/>
  <c r="F47" i="1"/>
  <c r="E48" i="1" s="1"/>
  <c r="F48" i="1" l="1"/>
  <c r="E49" i="1" s="1"/>
  <c r="I48" i="1"/>
  <c r="F49" i="1" l="1"/>
  <c r="E50" i="1" s="1"/>
  <c r="I49" i="1"/>
  <c r="F50" i="1" l="1"/>
  <c r="E51" i="1" s="1"/>
  <c r="I50" i="1"/>
  <c r="F51" i="1" l="1"/>
  <c r="E52" i="1" s="1"/>
  <c r="I51" i="1"/>
  <c r="F52" i="1" l="1"/>
  <c r="I52" i="1" s="1"/>
  <c r="H52" i="1"/>
  <c r="G52" i="1" l="1"/>
  <c r="E53" i="1"/>
  <c r="F53" i="1" l="1"/>
  <c r="E54" i="1" s="1"/>
  <c r="I53" i="1"/>
  <c r="F54" i="1" l="1"/>
  <c r="E55" i="1" s="1"/>
  <c r="I54" i="1"/>
  <c r="F55" i="1" l="1"/>
  <c r="E56" i="1" s="1"/>
  <c r="I55" i="1"/>
  <c r="F56" i="1" l="1"/>
  <c r="E57" i="1" s="1"/>
  <c r="I56" i="1"/>
  <c r="F57" i="1" l="1"/>
  <c r="E58" i="1" s="1"/>
  <c r="I57" i="1"/>
  <c r="F58" i="1" l="1"/>
  <c r="E59" i="1" s="1"/>
  <c r="I58" i="1"/>
  <c r="H59" i="1" l="1"/>
  <c r="F59" i="1"/>
  <c r="I59" i="1" s="1"/>
  <c r="G59" i="1" l="1"/>
  <c r="E60" i="1"/>
  <c r="I60" i="1" l="1"/>
  <c r="F60" i="1"/>
  <c r="E61" i="1" s="1"/>
  <c r="F61" i="1" l="1"/>
  <c r="E62" i="1" s="1"/>
  <c r="I61" i="1"/>
  <c r="F62" i="1" l="1"/>
  <c r="E63" i="1" s="1"/>
  <c r="I62" i="1"/>
  <c r="F63" i="1" l="1"/>
  <c r="E64" i="1" s="1"/>
  <c r="I63" i="1"/>
  <c r="I64" i="1" l="1"/>
  <c r="F64" i="1"/>
  <c r="E65" i="1" s="1"/>
  <c r="F65" i="1" l="1"/>
  <c r="E66" i="1" s="1"/>
  <c r="I65" i="1"/>
  <c r="F66" i="1" l="1"/>
  <c r="I66" i="1" s="1"/>
  <c r="H66" i="1"/>
  <c r="G66" i="1" l="1"/>
  <c r="E67" i="1"/>
  <c r="F67" i="1" l="1"/>
  <c r="E68" i="1" s="1"/>
  <c r="I67" i="1"/>
  <c r="F68" i="1" l="1"/>
  <c r="E69" i="1" s="1"/>
  <c r="I68" i="1"/>
  <c r="F69" i="1" l="1"/>
  <c r="E70" i="1" s="1"/>
  <c r="I69" i="1"/>
  <c r="F70" i="1" l="1"/>
  <c r="E71" i="1" s="1"/>
  <c r="I70" i="1"/>
  <c r="F71" i="1" l="1"/>
  <c r="E72" i="1" s="1"/>
  <c r="I71" i="1"/>
  <c r="F72" i="1" l="1"/>
  <c r="E73" i="1" s="1"/>
  <c r="I72" i="1"/>
  <c r="F73" i="1" l="1"/>
  <c r="I73" i="1" s="1"/>
  <c r="H73" i="1"/>
  <c r="G73" i="1" l="1"/>
  <c r="E74" i="1"/>
  <c r="F74" i="1" l="1"/>
  <c r="E75" i="1" s="1"/>
  <c r="I74" i="1"/>
  <c r="F75" i="1" l="1"/>
  <c r="E76" i="1" s="1"/>
  <c r="I75" i="1"/>
  <c r="F76" i="1" l="1"/>
  <c r="E77" i="1" s="1"/>
  <c r="I76" i="1"/>
  <c r="F77" i="1" l="1"/>
  <c r="E78" i="1" s="1"/>
  <c r="I77" i="1"/>
  <c r="F78" i="1" l="1"/>
  <c r="E79" i="1" s="1"/>
  <c r="I78" i="1"/>
  <c r="F79" i="1" l="1"/>
  <c r="E80" i="1" s="1"/>
  <c r="I79" i="1"/>
  <c r="F80" i="1" l="1"/>
  <c r="I80" i="1" s="1"/>
  <c r="H80" i="1"/>
  <c r="G80" i="1" l="1"/>
  <c r="E81" i="1"/>
  <c r="F81" i="1" l="1"/>
  <c r="E82" i="1" s="1"/>
  <c r="I81" i="1"/>
  <c r="F82" i="1" l="1"/>
  <c r="E83" i="1" s="1"/>
  <c r="I82" i="1"/>
  <c r="F83" i="1" l="1"/>
  <c r="E84" i="1" s="1"/>
  <c r="I83" i="1"/>
  <c r="F84" i="1" l="1"/>
  <c r="E85" i="1" s="1"/>
  <c r="I84" i="1"/>
  <c r="F85" i="1" l="1"/>
  <c r="E86" i="1" s="1"/>
  <c r="I85" i="1"/>
  <c r="F86" i="1" l="1"/>
  <c r="E87" i="1" s="1"/>
  <c r="I86" i="1"/>
  <c r="F87" i="1" l="1"/>
  <c r="I87" i="1" s="1"/>
  <c r="H87" i="1"/>
  <c r="G87" i="1" l="1"/>
  <c r="E88" i="1"/>
  <c r="F88" i="1" l="1"/>
  <c r="E89" i="1" s="1"/>
  <c r="I88" i="1"/>
  <c r="F89" i="1" l="1"/>
  <c r="E90" i="1" s="1"/>
  <c r="I89" i="1"/>
  <c r="F90" i="1" l="1"/>
  <c r="E91" i="1" s="1"/>
  <c r="I90" i="1"/>
  <c r="F91" i="1" l="1"/>
  <c r="E92" i="1" s="1"/>
  <c r="I91" i="1"/>
  <c r="F92" i="1" l="1"/>
  <c r="E93" i="1" s="1"/>
  <c r="I92" i="1"/>
  <c r="F93" i="1" l="1"/>
  <c r="E94" i="1" s="1"/>
  <c r="I93" i="1"/>
  <c r="F94" i="1" l="1"/>
  <c r="I94" i="1" s="1"/>
  <c r="H94" i="1"/>
  <c r="G94" i="1" l="1"/>
  <c r="E95" i="1"/>
  <c r="F95" i="1" l="1"/>
  <c r="E96" i="1" s="1"/>
  <c r="I95" i="1"/>
  <c r="F96" i="1" l="1"/>
  <c r="E97" i="1" s="1"/>
  <c r="I96" i="1"/>
  <c r="F97" i="1" l="1"/>
  <c r="E98" i="1" s="1"/>
  <c r="I97" i="1"/>
  <c r="F98" i="1" l="1"/>
  <c r="E99" i="1" s="1"/>
  <c r="I98" i="1"/>
  <c r="F99" i="1" l="1"/>
  <c r="I99" i="1"/>
</calcChain>
</file>

<file path=xl/sharedStrings.xml><?xml version="1.0" encoding="utf-8"?>
<sst xmlns="http://schemas.openxmlformats.org/spreadsheetml/2006/main" count="57" uniqueCount="51">
  <si>
    <t>Tirzepatide PK Calculator</t>
  </si>
  <si>
    <t>Parameters</t>
  </si>
  <si>
    <t>Half-life (days):</t>
  </si>
  <si>
    <t>← Published: ~5 days. Edit if needed.</t>
  </si>
  <si>
    <t>Elimination rate (k):</t>
  </si>
  <si>
    <t>← Calculated: ln(2)/half-life</t>
  </si>
  <si>
    <t>Bioavailability:</t>
  </si>
  <si>
    <t>← ~80% for subcutaneous tirzepatide</t>
  </si>
  <si>
    <t>Volume of dist. (L):</t>
  </si>
  <si>
    <t>← ~10.3L from pop PK model. Scales with body size.</t>
  </si>
  <si>
    <t>Day</t>
  </si>
  <si>
    <t>Dose (mg)</t>
  </si>
  <si>
    <t>Notes</t>
  </si>
  <si>
    <t>Level Before
Dose (ng/mL)</t>
  </si>
  <si>
    <t>Level After
Dose (ng/mL)</t>
  </si>
  <si>
    <t>Peak
(on dose days)</t>
  </si>
  <si>
    <t>Trough
(on dose days)</t>
  </si>
  <si>
    <t>First dose</t>
  </si>
  <si>
    <t>Concentration Curves: 4 Dosing Strategies</t>
  </si>
  <si>
    <t>Standard 2.5mg q7d</t>
  </si>
  <si>
    <t>Tighter 2.5mg q5d</t>
  </si>
  <si>
    <t>Split 1.25mg q3.5d</t>
  </si>
  <si>
    <t>Your Ladder: q7→q6→q5</t>
  </si>
  <si>
    <t>Dosing Strategy Comparison (Days 7-42)</t>
  </si>
  <si>
    <t>Strategy</t>
  </si>
  <si>
    <t>Total mg
(42 days)</t>
  </si>
  <si>
    <t># Injections</t>
  </si>
  <si>
    <t>mg/week
avg</t>
  </si>
  <si>
    <t>Peak
(ng/mL)</t>
  </si>
  <si>
    <t>Min Trough
(ng/mL)</t>
  </si>
  <si>
    <t>P/T Ratio</t>
  </si>
  <si>
    <t>% Time Above
50% of Peak</t>
  </si>
  <si>
    <t>99%</t>
  </si>
  <si>
    <t>100%</t>
  </si>
  <si>
    <t>95%</t>
  </si>
  <si>
    <t>KEY METRICS:</t>
  </si>
  <si>
    <t>• P/T Ratio: Lower = more stable levels. Standard weekly ≈ 3-4. Split dosing → ~1.5-2.</t>
  </si>
  <si>
    <t>• Min Trough: The floor — this is where effects may fade. Higher floor = more consistent experience.</t>
  </si>
  <si>
    <t>• % Time Above 50% Peak: How much of the time you're in the effective zone.</t>
  </si>
  <si>
    <t>HOW TO USE:</t>
  </si>
  <si>
    <t>• Go to 'Dose Schedule' sheet to model YOUR protocol — edit yellow cells (dose amounts)</t>
  </si>
  <si>
    <t>• Put a dose on any day. Leave blank for no-dose days.</t>
  </si>
  <si>
    <t>• The green calculated columns update automatically.</t>
  </si>
  <si>
    <t>• Pre-filled with standard titration. Clear and enter your own schedule to compare.</t>
  </si>
  <si>
    <t>IMPORTANT:</t>
  </si>
  <si>
    <t>• This is a simplified one-compartment PK model for educational purposes.</t>
  </si>
  <si>
    <t>• Real pharmacokinetics involve two compartments, individual variation in Vd, clearance, etc.</t>
  </si>
  <si>
    <t>• The concentration units (ng/mL) are approximate — actual blood levels depend on individual factors.</t>
  </si>
  <si>
    <t>• This is NOT medical advice. Discuss any dosing changes with your prescriber.</t>
  </si>
  <si>
    <t>Date</t>
  </si>
  <si>
    <t>Daily Level
(ng/mL)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</si>
</sst>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6"/>
      <color rgb="FF2F5496"/>
      <name val="Calibri"/>
    </font>
    <font>
      <b/>
      <sz val="12"/>
      <name val="Calibri"/>
    </font>
    <font>
      <i/>
      <sz val="11"/>
      <color rgb="FF808080"/>
      <name val="Calibri"/>
    </font>
    <font>
      <b/>
      <sz val="12"/>
      <color rgb="FFFFFFFF"/>
      <name val="Calibri"/>
    </font>
    <font>
      <b/>
      <sz val="14"/>
      <color rgb="FF2F5496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2" borderId="1" xfId="0" applyFill="1" applyBorder="1"/>
    <xf numFmtId="0" fontId="3" fillId="0" borderId="0" xfId="0" applyFont="1"/>
    <xf numFmtId="164" fontId="0" fillId="3" borderId="1" xfId="0" applyNumberFormat="1" applyFill="1" applyBorder="1"/>
    <xf numFmtId="2" fontId="0" fillId="2" borderId="1" xfId="0" applyNumberFormat="1" applyFill="1" applyBorder="1"/>
    <xf numFmtId="0" fontId="4" fillId="4" borderId="1" xfId="0" applyFont="1" applyFill="1" applyBorder="1" applyAlignment="1">
      <alignment horizontal="center" wrapText="1"/>
    </xf>
    <xf numFmtId="0" fontId="0" fillId="0" borderId="1" xfId="0" applyBorder="1"/>
    <xf numFmtId="2" fontId="0" fillId="3" borderId="1" xfId="0" applyNumberFormat="1" applyFill="1" applyBorder="1"/>
    <xf numFmtId="0" fontId="6" fillId="0" borderId="0" xfId="0" applyFont="1"/>
    <xf numFmtId="0" fontId="4" fillId="4" borderId="0" xfId="0" applyFont="1" applyFill="1"/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/>
    <xf numFmtId="0" fontId="5" fillId="0" borderId="0" xfId="0" applyFont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'Dose Schedule'!$I$9</c:f>
              <c:strCache>
                <c:ptCount val="1"/>
                <c:pt idx="0">
                  <c:v>Daily Level
(ng/mL)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name>5-day Average</c:nam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movingAvg"/>
            <c:period val="5"/>
            <c:dispRSqr val="0"/>
            <c:dispEq val="0"/>
          </c:trendline>
          <c:cat>
            <c:numRef>
              <c:f>'Dose Schedule'!$A$10:$A$99</c:f>
              <c:numCache>
                <c:formatCode>General</c:formatCode>
                <c:ptCount val="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</c:numCache>
            </c:numRef>
          </c:cat>
          <c:val>
            <c:numRef>
              <c:f>'Dose Schedule'!$I$10:$I$99</c:f>
              <c:numCache>
                <c:formatCode>0.00</c:formatCode>
                <c:ptCount val="90"/>
                <c:pt idx="0">
                  <c:v>65.359477124183016</c:v>
                </c:pt>
                <c:pt idx="1">
                  <c:v>106.17678383741641</c:v>
                </c:pt>
                <c:pt idx="2">
                  <c:v>92.432258978633669</c:v>
                </c:pt>
                <c:pt idx="3">
                  <c:v>80.466955120582753</c:v>
                </c:pt>
                <c:pt idx="4">
                  <c:v>70.050553106947262</c:v>
                </c:pt>
                <c:pt idx="5">
                  <c:v>60.982548466457999</c:v>
                </c:pt>
                <c:pt idx="6">
                  <c:v>93.500036816740135</c:v>
                </c:pt>
                <c:pt idx="7">
                  <c:v>105.67512843826999</c:v>
                </c:pt>
                <c:pt idx="8">
                  <c:v>91.995542588326217</c:v>
                </c:pt>
                <c:pt idx="9">
                  <c:v>80.086771420999952</c:v>
                </c:pt>
                <c:pt idx="10">
                  <c:v>103.4817698561006</c:v>
                </c:pt>
                <c:pt idx="11">
                  <c:v>107.41220798903377</c:v>
                </c:pt>
                <c:pt idx="12">
                  <c:v>93.507758169733805</c:v>
                </c:pt>
                <c:pt idx="13">
                  <c:v>81.403231547219505</c:v>
                </c:pt>
                <c:pt idx="14">
                  <c:v>104.71007058590615</c:v>
                </c:pt>
                <c:pt idx="15">
                  <c:v>108.40989820026446</c:v>
                </c:pt>
                <c:pt idx="16">
                  <c:v>94.376297945115695</c:v>
                </c:pt>
                <c:pt idx="17">
                  <c:v>82.159339337923313</c:v>
                </c:pt>
                <c:pt idx="18">
                  <c:v>105.41554409979081</c:v>
                </c:pt>
                <c:pt idx="19">
                  <c:v>108.98292075248311</c:v>
                </c:pt>
                <c:pt idx="20">
                  <c:v>94.875143050731026</c:v>
                </c:pt>
                <c:pt idx="21">
                  <c:v>82.593609225614259</c:v>
                </c:pt>
                <c:pt idx="22">
                  <c:v>71.901913036018442</c:v>
                </c:pt>
                <c:pt idx="23">
                  <c:v>62.594250895574788</c:v>
                </c:pt>
                <c:pt idx="24">
                  <c:v>54.491460376241555</c:v>
                </c:pt>
                <c:pt idx="25">
                  <c:v>47.437571525365513</c:v>
                </c:pt>
                <c:pt idx="26">
                  <c:v>41.296804612807129</c:v>
                </c:pt>
                <c:pt idx="27">
                  <c:v>35.950956518009221</c:v>
                </c:pt>
                <c:pt idx="28">
                  <c:v>31.297125447787394</c:v>
                </c:pt>
                <c:pt idx="29">
                  <c:v>27.245730188120778</c:v>
                </c:pt>
                <c:pt idx="30">
                  <c:v>23.718785762682757</c:v>
                </c:pt>
                <c:pt idx="31">
                  <c:v>20.648402306403565</c:v>
                </c:pt>
                <c:pt idx="32">
                  <c:v>17.97547825900461</c:v>
                </c:pt>
                <c:pt idx="33">
                  <c:v>15.648562723893697</c:v>
                </c:pt>
                <c:pt idx="34">
                  <c:v>13.622865094060389</c:v>
                </c:pt>
                <c:pt idx="35">
                  <c:v>11.859392881341378</c:v>
                </c:pt>
                <c:pt idx="36">
                  <c:v>10.324201153201782</c:v>
                </c:pt>
                <c:pt idx="37">
                  <c:v>8.9877391295023052</c:v>
                </c:pt>
                <c:pt idx="38">
                  <c:v>7.8242813619468485</c:v>
                </c:pt>
                <c:pt idx="39">
                  <c:v>6.8114325470301944</c:v>
                </c:pt>
                <c:pt idx="40">
                  <c:v>5.9296964406706891</c:v>
                </c:pt>
                <c:pt idx="41">
                  <c:v>5.1621005766008912</c:v>
                </c:pt>
                <c:pt idx="42">
                  <c:v>4.4938695647511526</c:v>
                </c:pt>
                <c:pt idx="43">
                  <c:v>3.9121406809734243</c:v>
                </c:pt>
                <c:pt idx="44">
                  <c:v>3.4057162735150972</c:v>
                </c:pt>
                <c:pt idx="45">
                  <c:v>2.9648482203353446</c:v>
                </c:pt>
                <c:pt idx="46">
                  <c:v>2.5810502883004456</c:v>
                </c:pt>
                <c:pt idx="47">
                  <c:v>2.2469347823755763</c:v>
                </c:pt>
                <c:pt idx="48">
                  <c:v>1.9560703404867121</c:v>
                </c:pt>
                <c:pt idx="49">
                  <c:v>1.7028581367575486</c:v>
                </c:pt>
                <c:pt idx="50">
                  <c:v>1.4824241101676723</c:v>
                </c:pt>
                <c:pt idx="51">
                  <c:v>1.2905251441502228</c:v>
                </c:pt>
                <c:pt idx="52">
                  <c:v>1.1234673911877882</c:v>
                </c:pt>
                <c:pt idx="53">
                  <c:v>0.97803517024335607</c:v>
                </c:pt>
                <c:pt idx="54">
                  <c:v>0.8514290683787743</c:v>
                </c:pt>
                <c:pt idx="55">
                  <c:v>0.74121205508383614</c:v>
                </c:pt>
                <c:pt idx="56">
                  <c:v>0.6452625720751114</c:v>
                </c:pt>
                <c:pt idx="57">
                  <c:v>0.56173369559389408</c:v>
                </c:pt>
                <c:pt idx="58">
                  <c:v>0.48901758512167803</c:v>
                </c:pt>
                <c:pt idx="59">
                  <c:v>0.42571453418938715</c:v>
                </c:pt>
                <c:pt idx="60">
                  <c:v>0.37060602754191807</c:v>
                </c:pt>
                <c:pt idx="61">
                  <c:v>0.3226312860375557</c:v>
                </c:pt>
                <c:pt idx="62">
                  <c:v>0.28086684779694704</c:v>
                </c:pt>
                <c:pt idx="63">
                  <c:v>0.24450879256083902</c:v>
                </c:pt>
                <c:pt idx="64">
                  <c:v>0.21285726709469358</c:v>
                </c:pt>
                <c:pt idx="65">
                  <c:v>0.18530301377095904</c:v>
                </c:pt>
                <c:pt idx="66">
                  <c:v>0.16131564301877785</c:v>
                </c:pt>
                <c:pt idx="67">
                  <c:v>0.14043342389847352</c:v>
                </c:pt>
                <c:pt idx="68">
                  <c:v>0.12225439628041951</c:v>
                </c:pt>
                <c:pt idx="69">
                  <c:v>0.10642863354734679</c:v>
                </c:pt>
                <c:pt idx="70">
                  <c:v>9.2651506885479518E-2</c:v>
                </c:pt>
                <c:pt idx="71">
                  <c:v>8.0657821509388924E-2</c:v>
                </c:pt>
                <c:pt idx="72">
                  <c:v>7.021671194923676E-2</c:v>
                </c:pt>
                <c:pt idx="73">
                  <c:v>6.1127198140209754E-2</c:v>
                </c:pt>
                <c:pt idx="74">
                  <c:v>5.3214316773673394E-2</c:v>
                </c:pt>
                <c:pt idx="75">
                  <c:v>4.6325753442739759E-2</c:v>
                </c:pt>
                <c:pt idx="76">
                  <c:v>4.0328910754694462E-2</c:v>
                </c:pt>
                <c:pt idx="77">
                  <c:v>3.510835597461838E-2</c:v>
                </c:pt>
                <c:pt idx="78">
                  <c:v>3.0563599070104877E-2</c:v>
                </c:pt>
                <c:pt idx="79">
                  <c:v>2.6607158386836697E-2</c:v>
                </c:pt>
                <c:pt idx="80">
                  <c:v>2.3162876721369879E-2</c:v>
                </c:pt>
                <c:pt idx="81">
                  <c:v>2.0164455377347231E-2</c:v>
                </c:pt>
                <c:pt idx="82">
                  <c:v>1.755417798730919E-2</c:v>
                </c:pt>
                <c:pt idx="83">
                  <c:v>1.5281799535052439E-2</c:v>
                </c:pt>
                <c:pt idx="84">
                  <c:v>1.3303579193418348E-2</c:v>
                </c:pt>
                <c:pt idx="85">
                  <c:v>1.158143836068494E-2</c:v>
                </c:pt>
                <c:pt idx="86">
                  <c:v>1.0082227688673616E-2</c:v>
                </c:pt>
                <c:pt idx="87">
                  <c:v>8.777088993654595E-3</c:v>
                </c:pt>
                <c:pt idx="88">
                  <c:v>7.6408997675262193E-3</c:v>
                </c:pt>
                <c:pt idx="89">
                  <c:v>6.6517895967091742E-3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A9-4BE3-BD90-4C4029752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7744"/>
        <c:axId val="208391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'Dose Schedule'!$C$9</c15:sqref>
                        </c15:formulaRef>
                      </c:ext>
                    </c:extLst>
                    <c:strCache>
                      <c:ptCount val="1"/>
                      <c:pt idx="0">
                        <c:v>Dose (mg)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'Dose Schedule'!$A$10:$A$99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'Dose Schedule'!$C$10:$C$99</c15:sqref>
                        </c15:formulaRef>
                      </c:ext>
                    </c:extLst>
                    <c:numCache>
                      <c:formatCode>0.00</c:formatCode>
                      <c:ptCount val="90"/>
                      <c:pt idx="0">
                        <c:v>2.5</c:v>
                      </c:pt>
                      <c:pt idx="6">
                        <c:v>1.4</c:v>
                      </c:pt>
                      <c:pt idx="10">
                        <c:v>1.1000000000000001</c:v>
                      </c:pt>
                      <c:pt idx="14">
                        <c:v>1.1000000000000001</c:v>
                      </c:pt>
                      <c:pt idx="18">
                        <c:v>1.1000000000000001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9A9-4BE3-BD90-4C402975285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'Dose Schedule'!$D$9</c15:sqref>
                        </c15:formulaRef>
                      </c:ext>
                    </c:extLst>
                    <c:strCache>
                      <c:ptCount val="1"/>
                      <c:pt idx="0">
                        <c:v>Notes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'Dose Schedule'!$A$10:$A$99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'Dose Schedule'!$D$10:$D$99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9A9-4BE3-BD90-4C402975285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'Dose Schedule'!$E$9</c15:sqref>
                        </c15:formulaRef>
                      </c:ext>
                    </c:extLst>
                    <c:strCache>
                      <c:ptCount val="1"/>
                      <c:pt idx="0">
                        <c:v>Level Before
Dose (ng/mL)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'Dose Schedule'!$A$10:$A$99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'Dose Schedule'!$E$10:$E$99</c15:sqref>
                        </c15:formulaRef>
                      </c:ext>
                    </c:extLst>
                    <c:numCache>
                      <c:formatCode>0.00</c:formatCode>
                      <c:ptCount val="90"/>
                      <c:pt idx="0">
                        <c:v>0</c:v>
                      </c:pt>
                      <c:pt idx="1">
                        <c:v>113.79745925439532</c:v>
                      </c:pt>
                      <c:pt idx="2">
                        <c:v>99.066442255581578</c:v>
                      </c:pt>
                      <c:pt idx="3">
                        <c:v>86.242347109339491</c:v>
                      </c:pt>
                      <c:pt idx="4">
                        <c:v>75.078323856015359</c:v>
                      </c:pt>
                      <c:pt idx="5">
                        <c:v>65.359477124183002</c:v>
                      </c:pt>
                      <c:pt idx="6">
                        <c:v>56.898729627197653</c:v>
                      </c:pt>
                      <c:pt idx="7">
                        <c:v>113.25979831025214</c:v>
                      </c:pt>
                      <c:pt idx="8">
                        <c:v>98.598381217795406</c:v>
                      </c:pt>
                      <c:pt idx="9">
                        <c:v>85.834876309237771</c:v>
                      </c:pt>
                      <c:pt idx="10">
                        <c:v>74.723599921460078</c:v>
                      </c:pt>
                      <c:pt idx="11">
                        <c:v>115.12155407507522</c:v>
                      </c:pt>
                      <c:pt idx="12">
                        <c:v>100.21913374758195</c:v>
                      </c:pt>
                      <c:pt idx="13">
                        <c:v>87.245823337007067</c:v>
                      </c:pt>
                      <c:pt idx="14">
                        <c:v>75.951900651265632</c:v>
                      </c:pt>
                      <c:pt idx="15">
                        <c:v>116.1908519673045</c:v>
                      </c:pt>
                      <c:pt idx="16">
                        <c:v>101.1500116299935</c:v>
                      </c:pt>
                      <c:pt idx="17">
                        <c:v>88.056199601900346</c:v>
                      </c:pt>
                      <c:pt idx="18">
                        <c:v>76.657374165150287</c:v>
                      </c:pt>
                      <c:pt idx="19">
                        <c:v>116.80500233220727</c:v>
                      </c:pt>
                      <c:pt idx="20">
                        <c:v>101.68466057610813</c:v>
                      </c:pt>
                      <c:pt idx="21">
                        <c:v>88.521638543106121</c:v>
                      </c:pt>
                      <c:pt idx="22">
                        <c:v>77.062562297596926</c:v>
                      </c:pt>
                      <c:pt idx="23">
                        <c:v>67.086857017215664</c:v>
                      </c:pt>
                      <c:pt idx="24">
                        <c:v>58.402501166103633</c:v>
                      </c:pt>
                      <c:pt idx="25">
                        <c:v>50.842330288054065</c:v>
                      </c:pt>
                      <c:pt idx="26">
                        <c:v>44.260819271553061</c:v>
                      </c:pt>
                      <c:pt idx="27">
                        <c:v>38.531281148798463</c:v>
                      </c:pt>
                      <c:pt idx="28">
                        <c:v>33.543428508607832</c:v>
                      </c:pt>
                      <c:pt idx="29">
                        <c:v>29.201250583051817</c:v>
                      </c:pt>
                      <c:pt idx="30">
                        <c:v>25.421165144027032</c:v>
                      </c:pt>
                      <c:pt idx="31">
                        <c:v>22.13040963577653</c:v>
                      </c:pt>
                      <c:pt idx="32">
                        <c:v>19.265640574399232</c:v>
                      </c:pt>
                      <c:pt idx="33">
                        <c:v>16.771714254303916</c:v>
                      </c:pt>
                      <c:pt idx="34">
                        <c:v>14.600625291525908</c:v>
                      </c:pt>
                      <c:pt idx="35">
                        <c:v>12.710582572013516</c:v>
                      </c:pt>
                      <c:pt idx="36">
                        <c:v>11.065204817888265</c:v>
                      </c:pt>
                      <c:pt idx="37">
                        <c:v>9.6328202871996158</c:v>
                      </c:pt>
                      <c:pt idx="38">
                        <c:v>8.385857127151958</c:v>
                      </c:pt>
                      <c:pt idx="39">
                        <c:v>7.3003126457629541</c:v>
                      </c:pt>
                      <c:pt idx="40">
                        <c:v>6.3552912860067581</c:v>
                      </c:pt>
                      <c:pt idx="41">
                        <c:v>5.5326024089441326</c:v>
                      </c:pt>
                      <c:pt idx="42">
                        <c:v>4.8164101435998079</c:v>
                      </c:pt>
                      <c:pt idx="43">
                        <c:v>4.192928563575979</c:v>
                      </c:pt>
                      <c:pt idx="44">
                        <c:v>3.6501563228814771</c:v>
                      </c:pt>
                      <c:pt idx="45">
                        <c:v>3.177645643003379</c:v>
                      </c:pt>
                      <c:pt idx="46">
                        <c:v>2.7663012044720663</c:v>
                      </c:pt>
                      <c:pt idx="47">
                        <c:v>2.408205071799904</c:v>
                      </c:pt>
                      <c:pt idx="48">
                        <c:v>2.0964642817879895</c:v>
                      </c:pt>
                      <c:pt idx="49">
                        <c:v>1.8250781614407385</c:v>
                      </c:pt>
                      <c:pt idx="50">
                        <c:v>1.5888228215016895</c:v>
                      </c:pt>
                      <c:pt idx="51">
                        <c:v>1.3831506022360331</c:v>
                      </c:pt>
                      <c:pt idx="52">
                        <c:v>1.204102535899952</c:v>
                      </c:pt>
                      <c:pt idx="53">
                        <c:v>1.0482321408939947</c:v>
                      </c:pt>
                      <c:pt idx="54">
                        <c:v>0.91253908072036927</c:v>
                      </c:pt>
                      <c:pt idx="55">
                        <c:v>0.79441141075084476</c:v>
                      </c:pt>
                      <c:pt idx="56">
                        <c:v>0.69157530111801657</c:v>
                      </c:pt>
                      <c:pt idx="57">
                        <c:v>0.60205126794997599</c:v>
                      </c:pt>
                      <c:pt idx="58">
                        <c:v>0.52411607044699737</c:v>
                      </c:pt>
                      <c:pt idx="59">
                        <c:v>0.45626954036018463</c:v>
                      </c:pt>
                      <c:pt idx="60">
                        <c:v>0.39720570537542238</c:v>
                      </c:pt>
                      <c:pt idx="61">
                        <c:v>0.34578765055900829</c:v>
                      </c:pt>
                      <c:pt idx="62">
                        <c:v>0.30102563397498799</c:v>
                      </c:pt>
                      <c:pt idx="63">
                        <c:v>0.26205803522349869</c:v>
                      </c:pt>
                      <c:pt idx="64">
                        <c:v>0.22813477018009232</c:v>
                      </c:pt>
                      <c:pt idx="65">
                        <c:v>0.19860285268771119</c:v>
                      </c:pt>
                      <c:pt idx="66">
                        <c:v>0.17289382527950414</c:v>
                      </c:pt>
                      <c:pt idx="67">
                        <c:v>0.150512816987494</c:v>
                      </c:pt>
                      <c:pt idx="68">
                        <c:v>0.13102901761174934</c:v>
                      </c:pt>
                      <c:pt idx="69">
                        <c:v>0.11406738509004616</c:v>
                      </c:pt>
                      <c:pt idx="70">
                        <c:v>9.9301426343855595E-2</c:v>
                      </c:pt>
                      <c:pt idx="71">
                        <c:v>8.6446912639752072E-2</c:v>
                      </c:pt>
                      <c:pt idx="72">
                        <c:v>7.5256408493746998E-2</c:v>
                      </c:pt>
                      <c:pt idx="73">
                        <c:v>6.5514508805874672E-2</c:v>
                      </c:pt>
                      <c:pt idx="74">
                        <c:v>5.7033692545023079E-2</c:v>
                      </c:pt>
                      <c:pt idx="75">
                        <c:v>4.9650713171927797E-2</c:v>
                      </c:pt>
                      <c:pt idx="76">
                        <c:v>4.3223456319876036E-2</c:v>
                      </c:pt>
                      <c:pt idx="77">
                        <c:v>3.7628204246873499E-2</c:v>
                      </c:pt>
                      <c:pt idx="78">
                        <c:v>3.2757254402937336E-2</c:v>
                      </c:pt>
                      <c:pt idx="79">
                        <c:v>2.851684627251154E-2</c:v>
                      </c:pt>
                      <c:pt idx="80">
                        <c:v>2.4825356585963899E-2</c:v>
                      </c:pt>
                      <c:pt idx="81">
                        <c:v>2.1611728159938018E-2</c:v>
                      </c:pt>
                      <c:pt idx="82">
                        <c:v>1.881410212343675E-2</c:v>
                      </c:pt>
                      <c:pt idx="83">
                        <c:v>1.6378627201468668E-2</c:v>
                      </c:pt>
                      <c:pt idx="84">
                        <c:v>1.425842313625577E-2</c:v>
                      </c:pt>
                      <c:pt idx="85">
                        <c:v>1.2412678292981949E-2</c:v>
                      </c:pt>
                      <c:pt idx="86">
                        <c:v>1.0805864079969009E-2</c:v>
                      </c:pt>
                      <c:pt idx="87">
                        <c:v>9.4070510617183748E-3</c:v>
                      </c:pt>
                      <c:pt idx="88">
                        <c:v>8.189313600734334E-3</c:v>
                      </c:pt>
                      <c:pt idx="89">
                        <c:v>7.1292115681278849E-3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9A9-4BE3-BD90-4C402975285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'Dose Schedule'!$F$9</c15:sqref>
                        </c15:formulaRef>
                      </c:ext>
                    </c:extLst>
                    <c:strCache>
                      <c:ptCount val="1"/>
                      <c:pt idx="0">
                        <c:v>Level After
Dose (ng/mL)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'Dose Schedule'!$A$10:$A$99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'Dose Schedule'!$F$10:$F$99</c15:sqref>
                        </c15:formulaRef>
                      </c:ext>
                    </c:extLst>
                    <c:numCache>
                      <c:formatCode>0.00</c:formatCode>
                      <c:ptCount val="90"/>
                      <c:pt idx="0">
                        <c:v>130.71895424836603</c:v>
                      </c:pt>
                      <c:pt idx="1">
                        <c:v>113.79745925439532</c:v>
                      </c:pt>
                      <c:pt idx="2">
                        <c:v>99.066442255581578</c:v>
                      </c:pt>
                      <c:pt idx="3">
                        <c:v>86.242347109339491</c:v>
                      </c:pt>
                      <c:pt idx="4">
                        <c:v>75.078323856015359</c:v>
                      </c:pt>
                      <c:pt idx="5">
                        <c:v>65.359477124183002</c:v>
                      </c:pt>
                      <c:pt idx="6">
                        <c:v>130.1013440062826</c:v>
                      </c:pt>
                      <c:pt idx="7">
                        <c:v>113.25979831025214</c:v>
                      </c:pt>
                      <c:pt idx="8">
                        <c:v>98.598381217795406</c:v>
                      </c:pt>
                      <c:pt idx="9">
                        <c:v>85.834876309237771</c:v>
                      </c:pt>
                      <c:pt idx="10">
                        <c:v>132.23993979074112</c:v>
                      </c:pt>
                      <c:pt idx="11">
                        <c:v>115.12155407507522</c:v>
                      </c:pt>
                      <c:pt idx="12">
                        <c:v>100.21913374758195</c:v>
                      </c:pt>
                      <c:pt idx="13">
                        <c:v>87.245823337007067</c:v>
                      </c:pt>
                      <c:pt idx="14">
                        <c:v>133.46824052054669</c:v>
                      </c:pt>
                      <c:pt idx="15">
                        <c:v>116.1908519673045</c:v>
                      </c:pt>
                      <c:pt idx="16">
                        <c:v>101.1500116299935</c:v>
                      </c:pt>
                      <c:pt idx="17">
                        <c:v>88.056199601900346</c:v>
                      </c:pt>
                      <c:pt idx="18">
                        <c:v>134.17371403443133</c:v>
                      </c:pt>
                      <c:pt idx="19">
                        <c:v>116.80500233220727</c:v>
                      </c:pt>
                      <c:pt idx="20">
                        <c:v>101.68466057610813</c:v>
                      </c:pt>
                      <c:pt idx="21">
                        <c:v>88.521638543106121</c:v>
                      </c:pt>
                      <c:pt idx="22">
                        <c:v>77.062562297596926</c:v>
                      </c:pt>
                      <c:pt idx="23">
                        <c:v>67.086857017215664</c:v>
                      </c:pt>
                      <c:pt idx="24">
                        <c:v>58.402501166103633</c:v>
                      </c:pt>
                      <c:pt idx="25">
                        <c:v>50.842330288054065</c:v>
                      </c:pt>
                      <c:pt idx="26">
                        <c:v>44.260819271553061</c:v>
                      </c:pt>
                      <c:pt idx="27">
                        <c:v>38.531281148798463</c:v>
                      </c:pt>
                      <c:pt idx="28">
                        <c:v>33.543428508607832</c:v>
                      </c:pt>
                      <c:pt idx="29">
                        <c:v>29.201250583051817</c:v>
                      </c:pt>
                      <c:pt idx="30">
                        <c:v>25.421165144027032</c:v>
                      </c:pt>
                      <c:pt idx="31">
                        <c:v>22.13040963577653</c:v>
                      </c:pt>
                      <c:pt idx="32">
                        <c:v>19.265640574399232</c:v>
                      </c:pt>
                      <c:pt idx="33">
                        <c:v>16.771714254303916</c:v>
                      </c:pt>
                      <c:pt idx="34">
                        <c:v>14.600625291525908</c:v>
                      </c:pt>
                      <c:pt idx="35">
                        <c:v>12.710582572013516</c:v>
                      </c:pt>
                      <c:pt idx="36">
                        <c:v>11.065204817888265</c:v>
                      </c:pt>
                      <c:pt idx="37">
                        <c:v>9.6328202871996158</c:v>
                      </c:pt>
                      <c:pt idx="38">
                        <c:v>8.385857127151958</c:v>
                      </c:pt>
                      <c:pt idx="39">
                        <c:v>7.3003126457629541</c:v>
                      </c:pt>
                      <c:pt idx="40">
                        <c:v>6.3552912860067581</c:v>
                      </c:pt>
                      <c:pt idx="41">
                        <c:v>5.5326024089441326</c:v>
                      </c:pt>
                      <c:pt idx="42">
                        <c:v>4.8164101435998079</c:v>
                      </c:pt>
                      <c:pt idx="43">
                        <c:v>4.192928563575979</c:v>
                      </c:pt>
                      <c:pt idx="44">
                        <c:v>3.6501563228814771</c:v>
                      </c:pt>
                      <c:pt idx="45">
                        <c:v>3.177645643003379</c:v>
                      </c:pt>
                      <c:pt idx="46">
                        <c:v>2.7663012044720663</c:v>
                      </c:pt>
                      <c:pt idx="47">
                        <c:v>2.408205071799904</c:v>
                      </c:pt>
                      <c:pt idx="48">
                        <c:v>2.0964642817879895</c:v>
                      </c:pt>
                      <c:pt idx="49">
                        <c:v>1.8250781614407385</c:v>
                      </c:pt>
                      <c:pt idx="50">
                        <c:v>1.5888228215016895</c:v>
                      </c:pt>
                      <c:pt idx="51">
                        <c:v>1.3831506022360331</c:v>
                      </c:pt>
                      <c:pt idx="52">
                        <c:v>1.204102535899952</c:v>
                      </c:pt>
                      <c:pt idx="53">
                        <c:v>1.0482321408939947</c:v>
                      </c:pt>
                      <c:pt idx="54">
                        <c:v>0.91253908072036927</c:v>
                      </c:pt>
                      <c:pt idx="55">
                        <c:v>0.79441141075084476</c:v>
                      </c:pt>
                      <c:pt idx="56">
                        <c:v>0.69157530111801657</c:v>
                      </c:pt>
                      <c:pt idx="57">
                        <c:v>0.60205126794997599</c:v>
                      </c:pt>
                      <c:pt idx="58">
                        <c:v>0.52411607044699737</c:v>
                      </c:pt>
                      <c:pt idx="59">
                        <c:v>0.45626954036018463</c:v>
                      </c:pt>
                      <c:pt idx="60">
                        <c:v>0.39720570537542238</c:v>
                      </c:pt>
                      <c:pt idx="61">
                        <c:v>0.34578765055900829</c:v>
                      </c:pt>
                      <c:pt idx="62">
                        <c:v>0.30102563397498799</c:v>
                      </c:pt>
                      <c:pt idx="63">
                        <c:v>0.26205803522349869</c:v>
                      </c:pt>
                      <c:pt idx="64">
                        <c:v>0.22813477018009232</c:v>
                      </c:pt>
                      <c:pt idx="65">
                        <c:v>0.19860285268771119</c:v>
                      </c:pt>
                      <c:pt idx="66">
                        <c:v>0.17289382527950414</c:v>
                      </c:pt>
                      <c:pt idx="67">
                        <c:v>0.150512816987494</c:v>
                      </c:pt>
                      <c:pt idx="68">
                        <c:v>0.13102901761174934</c:v>
                      </c:pt>
                      <c:pt idx="69">
                        <c:v>0.11406738509004616</c:v>
                      </c:pt>
                      <c:pt idx="70">
                        <c:v>9.9301426343855595E-2</c:v>
                      </c:pt>
                      <c:pt idx="71">
                        <c:v>8.6446912639752072E-2</c:v>
                      </c:pt>
                      <c:pt idx="72">
                        <c:v>7.5256408493746998E-2</c:v>
                      </c:pt>
                      <c:pt idx="73">
                        <c:v>6.5514508805874672E-2</c:v>
                      </c:pt>
                      <c:pt idx="74">
                        <c:v>5.7033692545023079E-2</c:v>
                      </c:pt>
                      <c:pt idx="75">
                        <c:v>4.9650713171927797E-2</c:v>
                      </c:pt>
                      <c:pt idx="76">
                        <c:v>4.3223456319876036E-2</c:v>
                      </c:pt>
                      <c:pt idx="77">
                        <c:v>3.7628204246873499E-2</c:v>
                      </c:pt>
                      <c:pt idx="78">
                        <c:v>3.2757254402937336E-2</c:v>
                      </c:pt>
                      <c:pt idx="79">
                        <c:v>2.851684627251154E-2</c:v>
                      </c:pt>
                      <c:pt idx="80">
                        <c:v>2.4825356585963899E-2</c:v>
                      </c:pt>
                      <c:pt idx="81">
                        <c:v>2.1611728159938018E-2</c:v>
                      </c:pt>
                      <c:pt idx="82">
                        <c:v>1.881410212343675E-2</c:v>
                      </c:pt>
                      <c:pt idx="83">
                        <c:v>1.6378627201468668E-2</c:v>
                      </c:pt>
                      <c:pt idx="84">
                        <c:v>1.425842313625577E-2</c:v>
                      </c:pt>
                      <c:pt idx="85">
                        <c:v>1.2412678292981949E-2</c:v>
                      </c:pt>
                      <c:pt idx="86">
                        <c:v>1.0805864079969009E-2</c:v>
                      </c:pt>
                      <c:pt idx="87">
                        <c:v>9.4070510617183748E-3</c:v>
                      </c:pt>
                      <c:pt idx="88">
                        <c:v>8.189313600734334E-3</c:v>
                      </c:pt>
                      <c:pt idx="89">
                        <c:v>7.1292115681278849E-3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9A9-4BE3-BD90-4C402975285C}"/>
                  </c:ext>
                </c:extLst>
              </c15:ser>
            </c15:filteredLineSeries>
          </c:ext>
        </c:extLst>
      </c:lineChart>
      <c:scatterChart>
        <c:scatterStyle val="lineMarker"/>
        <c:varyColors val="0"/>
        <c:ser>
          <c:idx val="4"/>
          <c:order val="4"/>
          <c:tx>
            <c:strRef>
              <c:f>'Dose Schedule'!$G$9</c:f>
              <c:strCache>
                <c:ptCount val="1"/>
                <c:pt idx="0">
                  <c:v>Peak
(on dose days)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'Dose Schedule'!$A$10:$A$99</c:f>
              <c:numCache>
                <c:formatCode>General</c:formatCode>
                <c:ptCount val="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</c:numCache>
            </c:numRef>
          </c:xVal>
          <c:yVal>
            <c:numRef>
              <c:f>'Dose Schedule'!$G$10:$G$99</c:f>
              <c:numCache>
                <c:formatCode>0.00</c:formatCode>
                <c:ptCount val="90"/>
                <c:pt idx="0">
                  <c:v>130.71895424836603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130.1013440062826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132.23993979074112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133.46824052054669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134.17371403443133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A9-4BE3-BD90-4C402975285C}"/>
            </c:ext>
          </c:extLst>
        </c:ser>
        <c:ser>
          <c:idx val="5"/>
          <c:order val="5"/>
          <c:tx>
            <c:strRef>
              <c:f>'Dose Schedule'!$H$9</c:f>
              <c:strCache>
                <c:ptCount val="1"/>
                <c:pt idx="0">
                  <c:v>Trough
(on dose days)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'Dose Schedule'!$A$10:$A$99</c:f>
              <c:numCache>
                <c:formatCode>General</c:formatCode>
                <c:ptCount val="9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</c:numCache>
            </c:numRef>
          </c:xVal>
          <c:yVal>
            <c:numRef>
              <c:f>'Dose Schedule'!$H$10:$H$99</c:f>
              <c:numCache>
                <c:formatCode>0.00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56.898729627197653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74.723599921460078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75.951900651265632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76.657374165150287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A9-4BE3-BD90-4C4029752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7744"/>
        <c:axId val="20839104"/>
      </c:scatterChart>
      <c:catAx>
        <c:axId val="2084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04"/>
        <c:crosses val="autoZero"/>
        <c:auto val="1"/>
        <c:lblAlgn val="ctr"/>
        <c:lblOffset val="100"/>
        <c:noMultiLvlLbl val="0"/>
      </c:catAx>
      <c:valAx>
        <c:axId val="2083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Tirzepatide Concentration: Dosing Strategy Comparison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'Scenario Comparison'!$B$3</c:f>
              <c:strCache>
                <c:ptCount val="1"/>
                <c:pt idx="0">
                  <c:v>Standard 2.5mg q7d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'Scenario Comparison'!$A$4:$A$200</c:f>
              <c:numCache>
                <c:formatCode>0.0</c:formatCode>
                <c:ptCount val="19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</c:numCache>
            </c:numRef>
          </c:cat>
          <c:val>
            <c:numRef>
              <c:f>'Scenario Comparison'!$B$4:$B$200</c:f>
              <c:numCache>
                <c:formatCode>0.00</c:formatCode>
                <c:ptCount val="197"/>
                <c:pt idx="0">
                  <c:v>0</c:v>
                </c:pt>
                <c:pt idx="1">
                  <c:v>22.42</c:v>
                </c:pt>
                <c:pt idx="2">
                  <c:v>41.44</c:v>
                </c:pt>
                <c:pt idx="3">
                  <c:v>57.48</c:v>
                </c:pt>
                <c:pt idx="4">
                  <c:v>70.930000000000007</c:v>
                </c:pt>
                <c:pt idx="5">
                  <c:v>82.11</c:v>
                </c:pt>
                <c:pt idx="6">
                  <c:v>91.32</c:v>
                </c:pt>
                <c:pt idx="7">
                  <c:v>98.79</c:v>
                </c:pt>
                <c:pt idx="8">
                  <c:v>104.77</c:v>
                </c:pt>
                <c:pt idx="9">
                  <c:v>109.45</c:v>
                </c:pt>
                <c:pt idx="10">
                  <c:v>113</c:v>
                </c:pt>
                <c:pt idx="11">
                  <c:v>115.57</c:v>
                </c:pt>
                <c:pt idx="12">
                  <c:v>117.31</c:v>
                </c:pt>
                <c:pt idx="13">
                  <c:v>118.31</c:v>
                </c:pt>
                <c:pt idx="14">
                  <c:v>118.7</c:v>
                </c:pt>
                <c:pt idx="15">
                  <c:v>118.55</c:v>
                </c:pt>
                <c:pt idx="16">
                  <c:v>117.95</c:v>
                </c:pt>
                <c:pt idx="17">
                  <c:v>116.96</c:v>
                </c:pt>
                <c:pt idx="18">
                  <c:v>115.66</c:v>
                </c:pt>
                <c:pt idx="19">
                  <c:v>114.08</c:v>
                </c:pt>
                <c:pt idx="20">
                  <c:v>112.28</c:v>
                </c:pt>
                <c:pt idx="21">
                  <c:v>110.29</c:v>
                </c:pt>
                <c:pt idx="22">
                  <c:v>108.16</c:v>
                </c:pt>
                <c:pt idx="23">
                  <c:v>105.91</c:v>
                </c:pt>
                <c:pt idx="24">
                  <c:v>103.57</c:v>
                </c:pt>
                <c:pt idx="25">
                  <c:v>101.16</c:v>
                </c:pt>
                <c:pt idx="26">
                  <c:v>98.69</c:v>
                </c:pt>
                <c:pt idx="27">
                  <c:v>96.2</c:v>
                </c:pt>
                <c:pt idx="28">
                  <c:v>93.69</c:v>
                </c:pt>
                <c:pt idx="29">
                  <c:v>113.59</c:v>
                </c:pt>
                <c:pt idx="30">
                  <c:v>130.11000000000001</c:v>
                </c:pt>
                <c:pt idx="31">
                  <c:v>143.66</c:v>
                </c:pt>
                <c:pt idx="32">
                  <c:v>154.63999999999999</c:v>
                </c:pt>
                <c:pt idx="33">
                  <c:v>163.38</c:v>
                </c:pt>
                <c:pt idx="34">
                  <c:v>170.17</c:v>
                </c:pt>
                <c:pt idx="35">
                  <c:v>175.29</c:v>
                </c:pt>
                <c:pt idx="36">
                  <c:v>178.94</c:v>
                </c:pt>
                <c:pt idx="37">
                  <c:v>181.34</c:v>
                </c:pt>
                <c:pt idx="38">
                  <c:v>182.66</c:v>
                </c:pt>
                <c:pt idx="39">
                  <c:v>183.06</c:v>
                </c:pt>
                <c:pt idx="40">
                  <c:v>182.66</c:v>
                </c:pt>
                <c:pt idx="41">
                  <c:v>181.59</c:v>
                </c:pt>
                <c:pt idx="42">
                  <c:v>179.95</c:v>
                </c:pt>
                <c:pt idx="43">
                  <c:v>177.84</c:v>
                </c:pt>
                <c:pt idx="44">
                  <c:v>175.32</c:v>
                </c:pt>
                <c:pt idx="45">
                  <c:v>172.47</c:v>
                </c:pt>
                <c:pt idx="46">
                  <c:v>169.36</c:v>
                </c:pt>
                <c:pt idx="47">
                  <c:v>166.02</c:v>
                </c:pt>
                <c:pt idx="48">
                  <c:v>162.52000000000001</c:v>
                </c:pt>
                <c:pt idx="49">
                  <c:v>158.88</c:v>
                </c:pt>
                <c:pt idx="50">
                  <c:v>155.13999999999999</c:v>
                </c:pt>
                <c:pt idx="51">
                  <c:v>151.33000000000001</c:v>
                </c:pt>
                <c:pt idx="52">
                  <c:v>147.47999999999999</c:v>
                </c:pt>
                <c:pt idx="53">
                  <c:v>143.6</c:v>
                </c:pt>
                <c:pt idx="54">
                  <c:v>139.72999999999999</c:v>
                </c:pt>
                <c:pt idx="55">
                  <c:v>135.86000000000001</c:v>
                </c:pt>
                <c:pt idx="56">
                  <c:v>132.02000000000001</c:v>
                </c:pt>
                <c:pt idx="57">
                  <c:v>150.63999999999999</c:v>
                </c:pt>
                <c:pt idx="58">
                  <c:v>165.91</c:v>
                </c:pt>
                <c:pt idx="59">
                  <c:v>178.26</c:v>
                </c:pt>
                <c:pt idx="60">
                  <c:v>188.07</c:v>
                </c:pt>
                <c:pt idx="61">
                  <c:v>195.69</c:v>
                </c:pt>
                <c:pt idx="62">
                  <c:v>201.39</c:v>
                </c:pt>
                <c:pt idx="63">
                  <c:v>205.45</c:v>
                </c:pt>
                <c:pt idx="64">
                  <c:v>208.09</c:v>
                </c:pt>
                <c:pt idx="65">
                  <c:v>209.5</c:v>
                </c:pt>
                <c:pt idx="66">
                  <c:v>209.87</c:v>
                </c:pt>
                <c:pt idx="67">
                  <c:v>209.34</c:v>
                </c:pt>
                <c:pt idx="68">
                  <c:v>208.06</c:v>
                </c:pt>
                <c:pt idx="69">
                  <c:v>206.13</c:v>
                </c:pt>
                <c:pt idx="70">
                  <c:v>203.66</c:v>
                </c:pt>
                <c:pt idx="71">
                  <c:v>200.74</c:v>
                </c:pt>
                <c:pt idx="72">
                  <c:v>197.44</c:v>
                </c:pt>
                <c:pt idx="73">
                  <c:v>193.85</c:v>
                </c:pt>
                <c:pt idx="74">
                  <c:v>190</c:v>
                </c:pt>
                <c:pt idx="75">
                  <c:v>185.97</c:v>
                </c:pt>
                <c:pt idx="76">
                  <c:v>181.78</c:v>
                </c:pt>
                <c:pt idx="77">
                  <c:v>177.49</c:v>
                </c:pt>
                <c:pt idx="78">
                  <c:v>173.12</c:v>
                </c:pt>
                <c:pt idx="79">
                  <c:v>168.7</c:v>
                </c:pt>
                <c:pt idx="80">
                  <c:v>164.26</c:v>
                </c:pt>
                <c:pt idx="81">
                  <c:v>159.81</c:v>
                </c:pt>
                <c:pt idx="82">
                  <c:v>155.38</c:v>
                </c:pt>
                <c:pt idx="83">
                  <c:v>150.99</c:v>
                </c:pt>
                <c:pt idx="84">
                  <c:v>146.63</c:v>
                </c:pt>
                <c:pt idx="85">
                  <c:v>164.75</c:v>
                </c:pt>
                <c:pt idx="86">
                  <c:v>179.54</c:v>
                </c:pt>
                <c:pt idx="87">
                  <c:v>191.43</c:v>
                </c:pt>
                <c:pt idx="88">
                  <c:v>200.79</c:v>
                </c:pt>
                <c:pt idx="89">
                  <c:v>207.97</c:v>
                </c:pt>
                <c:pt idx="90">
                  <c:v>213.26</c:v>
                </c:pt>
                <c:pt idx="91">
                  <c:v>216.92</c:v>
                </c:pt>
                <c:pt idx="92">
                  <c:v>219.16</c:v>
                </c:pt>
                <c:pt idx="93">
                  <c:v>220.2</c:v>
                </c:pt>
                <c:pt idx="94">
                  <c:v>220.21</c:v>
                </c:pt>
                <c:pt idx="95">
                  <c:v>219.33</c:v>
                </c:pt>
                <c:pt idx="96">
                  <c:v>217.7</c:v>
                </c:pt>
                <c:pt idx="97">
                  <c:v>215.44</c:v>
                </c:pt>
                <c:pt idx="98">
                  <c:v>212.66</c:v>
                </c:pt>
                <c:pt idx="99">
                  <c:v>209.43</c:v>
                </c:pt>
                <c:pt idx="100">
                  <c:v>205.84</c:v>
                </c:pt>
                <c:pt idx="101">
                  <c:v>201.96</c:v>
                </c:pt>
                <c:pt idx="102">
                  <c:v>197.84</c:v>
                </c:pt>
                <c:pt idx="103">
                  <c:v>193.53</c:v>
                </c:pt>
                <c:pt idx="104">
                  <c:v>189.09</c:v>
                </c:pt>
                <c:pt idx="105">
                  <c:v>184.55</c:v>
                </c:pt>
                <c:pt idx="106">
                  <c:v>179.94</c:v>
                </c:pt>
                <c:pt idx="107">
                  <c:v>175.28</c:v>
                </c:pt>
                <c:pt idx="108">
                  <c:v>170.62</c:v>
                </c:pt>
                <c:pt idx="109">
                  <c:v>165.96</c:v>
                </c:pt>
                <c:pt idx="110">
                  <c:v>161.32</c:v>
                </c:pt>
                <c:pt idx="111">
                  <c:v>156.72</c:v>
                </c:pt>
                <c:pt idx="112">
                  <c:v>152.16999999999999</c:v>
                </c:pt>
                <c:pt idx="113">
                  <c:v>170.1</c:v>
                </c:pt>
                <c:pt idx="114">
                  <c:v>184.71</c:v>
                </c:pt>
                <c:pt idx="115">
                  <c:v>196.42</c:v>
                </c:pt>
                <c:pt idx="116">
                  <c:v>205.62</c:v>
                </c:pt>
                <c:pt idx="117">
                  <c:v>212.63</c:v>
                </c:pt>
                <c:pt idx="118">
                  <c:v>217.76</c:v>
                </c:pt>
                <c:pt idx="119">
                  <c:v>221.26</c:v>
                </c:pt>
                <c:pt idx="120">
                  <c:v>223.36</c:v>
                </c:pt>
                <c:pt idx="121">
                  <c:v>224.26</c:v>
                </c:pt>
                <c:pt idx="122">
                  <c:v>224.12</c:v>
                </c:pt>
                <c:pt idx="123">
                  <c:v>223.11</c:v>
                </c:pt>
                <c:pt idx="124">
                  <c:v>221.35</c:v>
                </c:pt>
                <c:pt idx="125">
                  <c:v>218.97</c:v>
                </c:pt>
                <c:pt idx="126">
                  <c:v>216.06</c:v>
                </c:pt>
                <c:pt idx="127">
                  <c:v>212.72</c:v>
                </c:pt>
                <c:pt idx="128">
                  <c:v>209.02</c:v>
                </c:pt>
                <c:pt idx="129">
                  <c:v>205.03</c:v>
                </c:pt>
                <c:pt idx="130">
                  <c:v>200.81</c:v>
                </c:pt>
                <c:pt idx="131">
                  <c:v>196.4</c:v>
                </c:pt>
                <c:pt idx="132">
                  <c:v>191.86</c:v>
                </c:pt>
                <c:pt idx="133">
                  <c:v>187.22</c:v>
                </c:pt>
                <c:pt idx="134">
                  <c:v>182.52</c:v>
                </c:pt>
                <c:pt idx="135">
                  <c:v>177.78</c:v>
                </c:pt>
                <c:pt idx="136">
                  <c:v>173.03</c:v>
                </c:pt>
                <c:pt idx="137">
                  <c:v>168.29</c:v>
                </c:pt>
                <c:pt idx="138">
                  <c:v>163.57</c:v>
                </c:pt>
                <c:pt idx="139">
                  <c:v>158.88999999999999</c:v>
                </c:pt>
                <c:pt idx="140">
                  <c:v>154.27000000000001</c:v>
                </c:pt>
                <c:pt idx="141">
                  <c:v>172.13</c:v>
                </c:pt>
                <c:pt idx="142">
                  <c:v>186.67</c:v>
                </c:pt>
                <c:pt idx="143">
                  <c:v>198.31</c:v>
                </c:pt>
                <c:pt idx="144">
                  <c:v>207.44</c:v>
                </c:pt>
                <c:pt idx="145">
                  <c:v>214.4</c:v>
                </c:pt>
                <c:pt idx="146">
                  <c:v>219.47</c:v>
                </c:pt>
                <c:pt idx="147">
                  <c:v>222.91</c:v>
                </c:pt>
                <c:pt idx="148">
                  <c:v>224.95</c:v>
                </c:pt>
                <c:pt idx="149">
                  <c:v>225.79</c:v>
                </c:pt>
                <c:pt idx="150">
                  <c:v>225.61</c:v>
                </c:pt>
                <c:pt idx="151">
                  <c:v>224.54</c:v>
                </c:pt>
                <c:pt idx="152">
                  <c:v>222.74</c:v>
                </c:pt>
                <c:pt idx="153">
                  <c:v>220.31</c:v>
                </c:pt>
                <c:pt idx="154">
                  <c:v>217.36</c:v>
                </c:pt>
                <c:pt idx="155">
                  <c:v>213.97</c:v>
                </c:pt>
                <c:pt idx="156">
                  <c:v>210.23</c:v>
                </c:pt>
                <c:pt idx="157">
                  <c:v>206.19</c:v>
                </c:pt>
                <c:pt idx="158">
                  <c:v>201.93</c:v>
                </c:pt>
                <c:pt idx="159">
                  <c:v>197.49</c:v>
                </c:pt>
                <c:pt idx="160">
                  <c:v>192.91</c:v>
                </c:pt>
                <c:pt idx="161">
                  <c:v>188.24</c:v>
                </c:pt>
                <c:pt idx="162">
                  <c:v>183.5</c:v>
                </c:pt>
                <c:pt idx="163">
                  <c:v>178.73</c:v>
                </c:pt>
                <c:pt idx="164">
                  <c:v>173.94</c:v>
                </c:pt>
                <c:pt idx="165">
                  <c:v>169.17</c:v>
                </c:pt>
                <c:pt idx="166">
                  <c:v>164.42</c:v>
                </c:pt>
                <c:pt idx="167">
                  <c:v>159.72</c:v>
                </c:pt>
                <c:pt idx="168">
                  <c:v>155.07</c:v>
                </c:pt>
                <c:pt idx="169">
                  <c:v>150.47999999999999</c:v>
                </c:pt>
                <c:pt idx="170">
                  <c:v>145.97</c:v>
                </c:pt>
                <c:pt idx="171">
                  <c:v>141.54</c:v>
                </c:pt>
                <c:pt idx="172">
                  <c:v>137.19999999999999</c:v>
                </c:pt>
                <c:pt idx="173">
                  <c:v>132.94999999999999</c:v>
                </c:pt>
                <c:pt idx="174">
                  <c:v>128.80000000000001</c:v>
                </c:pt>
                <c:pt idx="175">
                  <c:v>124.74</c:v>
                </c:pt>
                <c:pt idx="176">
                  <c:v>120.78</c:v>
                </c:pt>
                <c:pt idx="177">
                  <c:v>116.92</c:v>
                </c:pt>
                <c:pt idx="178">
                  <c:v>113.17</c:v>
                </c:pt>
                <c:pt idx="179">
                  <c:v>109.51</c:v>
                </c:pt>
                <c:pt idx="180">
                  <c:v>105.96</c:v>
                </c:pt>
                <c:pt idx="181">
                  <c:v>102.51</c:v>
                </c:pt>
                <c:pt idx="182">
                  <c:v>99.15</c:v>
                </c:pt>
                <c:pt idx="183">
                  <c:v>95.89</c:v>
                </c:pt>
                <c:pt idx="184">
                  <c:v>92.74</c:v>
                </c:pt>
                <c:pt idx="185">
                  <c:v>89.67</c:v>
                </c:pt>
                <c:pt idx="186">
                  <c:v>86.7</c:v>
                </c:pt>
                <c:pt idx="187">
                  <c:v>83.82</c:v>
                </c:pt>
                <c:pt idx="188">
                  <c:v>81.03</c:v>
                </c:pt>
                <c:pt idx="189">
                  <c:v>78.33</c:v>
                </c:pt>
                <c:pt idx="190">
                  <c:v>75.709999999999994</c:v>
                </c:pt>
                <c:pt idx="191">
                  <c:v>73.17</c:v>
                </c:pt>
                <c:pt idx="192">
                  <c:v>70.72</c:v>
                </c:pt>
                <c:pt idx="193">
                  <c:v>68.349999999999994</c:v>
                </c:pt>
                <c:pt idx="194">
                  <c:v>66.05</c:v>
                </c:pt>
                <c:pt idx="195">
                  <c:v>63.83</c:v>
                </c:pt>
                <c:pt idx="196">
                  <c:v>61.68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4B-4224-9A72-C69982CFD4D0}"/>
            </c:ext>
          </c:extLst>
        </c:ser>
        <c:ser>
          <c:idx val="1"/>
          <c:order val="1"/>
          <c:tx>
            <c:strRef>
              <c:f>'Scenario Comparison'!$C$3</c:f>
              <c:strCache>
                <c:ptCount val="1"/>
                <c:pt idx="0">
                  <c:v>Tighter 2.5mg q5d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'Scenario Comparison'!$A$4:$A$200</c:f>
              <c:numCache>
                <c:formatCode>0.0</c:formatCode>
                <c:ptCount val="19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</c:numCache>
            </c:numRef>
          </c:cat>
          <c:val>
            <c:numRef>
              <c:f>'Scenario Comparison'!$C$4:$C$200</c:f>
              <c:numCache>
                <c:formatCode>0.00</c:formatCode>
                <c:ptCount val="197"/>
                <c:pt idx="0">
                  <c:v>0</c:v>
                </c:pt>
                <c:pt idx="1">
                  <c:v>22.42</c:v>
                </c:pt>
                <c:pt idx="2">
                  <c:v>41.44</c:v>
                </c:pt>
                <c:pt idx="3">
                  <c:v>57.48</c:v>
                </c:pt>
                <c:pt idx="4">
                  <c:v>70.930000000000007</c:v>
                </c:pt>
                <c:pt idx="5">
                  <c:v>82.11</c:v>
                </c:pt>
                <c:pt idx="6">
                  <c:v>91.32</c:v>
                </c:pt>
                <c:pt idx="7">
                  <c:v>98.79</c:v>
                </c:pt>
                <c:pt idx="8">
                  <c:v>104.77</c:v>
                </c:pt>
                <c:pt idx="9">
                  <c:v>109.45</c:v>
                </c:pt>
                <c:pt idx="10">
                  <c:v>113</c:v>
                </c:pt>
                <c:pt idx="11">
                  <c:v>115.57</c:v>
                </c:pt>
                <c:pt idx="12">
                  <c:v>117.31</c:v>
                </c:pt>
                <c:pt idx="13">
                  <c:v>118.31</c:v>
                </c:pt>
                <c:pt idx="14">
                  <c:v>118.7</c:v>
                </c:pt>
                <c:pt idx="15">
                  <c:v>118.55</c:v>
                </c:pt>
                <c:pt idx="16">
                  <c:v>117.95</c:v>
                </c:pt>
                <c:pt idx="17">
                  <c:v>116.96</c:v>
                </c:pt>
                <c:pt idx="18">
                  <c:v>115.66</c:v>
                </c:pt>
                <c:pt idx="19">
                  <c:v>114.08</c:v>
                </c:pt>
                <c:pt idx="20">
                  <c:v>112.28</c:v>
                </c:pt>
                <c:pt idx="21">
                  <c:v>132.71</c:v>
                </c:pt>
                <c:pt idx="22">
                  <c:v>149.6</c:v>
                </c:pt>
                <c:pt idx="23">
                  <c:v>163.38999999999999</c:v>
                </c:pt>
                <c:pt idx="24">
                  <c:v>174.5</c:v>
                </c:pt>
                <c:pt idx="25">
                  <c:v>183.27</c:v>
                </c:pt>
                <c:pt idx="26">
                  <c:v>190.01</c:v>
                </c:pt>
                <c:pt idx="27">
                  <c:v>195</c:v>
                </c:pt>
                <c:pt idx="28">
                  <c:v>198.47</c:v>
                </c:pt>
                <c:pt idx="29">
                  <c:v>200.63</c:v>
                </c:pt>
                <c:pt idx="30">
                  <c:v>201.67</c:v>
                </c:pt>
                <c:pt idx="31">
                  <c:v>201.75</c:v>
                </c:pt>
                <c:pt idx="32">
                  <c:v>201.01</c:v>
                </c:pt>
                <c:pt idx="33">
                  <c:v>199.58</c:v>
                </c:pt>
                <c:pt idx="34">
                  <c:v>197.55</c:v>
                </c:pt>
                <c:pt idx="35">
                  <c:v>195.04</c:v>
                </c:pt>
                <c:pt idx="36">
                  <c:v>192.12</c:v>
                </c:pt>
                <c:pt idx="37">
                  <c:v>188.86</c:v>
                </c:pt>
                <c:pt idx="38">
                  <c:v>185.32</c:v>
                </c:pt>
                <c:pt idx="39">
                  <c:v>181.56</c:v>
                </c:pt>
                <c:pt idx="40">
                  <c:v>177.63</c:v>
                </c:pt>
                <c:pt idx="41">
                  <c:v>195.99</c:v>
                </c:pt>
                <c:pt idx="42">
                  <c:v>210.86</c:v>
                </c:pt>
                <c:pt idx="43">
                  <c:v>222.68</c:v>
                </c:pt>
                <c:pt idx="44">
                  <c:v>231.87</c:v>
                </c:pt>
                <c:pt idx="45">
                  <c:v>238.78</c:v>
                </c:pt>
                <c:pt idx="46">
                  <c:v>243.71</c:v>
                </c:pt>
                <c:pt idx="47">
                  <c:v>246.94</c:v>
                </c:pt>
                <c:pt idx="48">
                  <c:v>248.7</c:v>
                </c:pt>
                <c:pt idx="49">
                  <c:v>249.21</c:v>
                </c:pt>
                <c:pt idx="50">
                  <c:v>248.64</c:v>
                </c:pt>
                <c:pt idx="51">
                  <c:v>247.17</c:v>
                </c:pt>
                <c:pt idx="52">
                  <c:v>244.92</c:v>
                </c:pt>
                <c:pt idx="53">
                  <c:v>242.02</c:v>
                </c:pt>
                <c:pt idx="54">
                  <c:v>238.59</c:v>
                </c:pt>
                <c:pt idx="55">
                  <c:v>234.7</c:v>
                </c:pt>
                <c:pt idx="56">
                  <c:v>230.45</c:v>
                </c:pt>
                <c:pt idx="57">
                  <c:v>225.9</c:v>
                </c:pt>
                <c:pt idx="58">
                  <c:v>221.12</c:v>
                </c:pt>
                <c:pt idx="59">
                  <c:v>216.16</c:v>
                </c:pt>
                <c:pt idx="60">
                  <c:v>211.07</c:v>
                </c:pt>
                <c:pt idx="61">
                  <c:v>228.3</c:v>
                </c:pt>
                <c:pt idx="62">
                  <c:v>242.07</c:v>
                </c:pt>
                <c:pt idx="63">
                  <c:v>252.85</c:v>
                </c:pt>
                <c:pt idx="64">
                  <c:v>261.02</c:v>
                </c:pt>
                <c:pt idx="65">
                  <c:v>266.94</c:v>
                </c:pt>
                <c:pt idx="66">
                  <c:v>270.92</c:v>
                </c:pt>
                <c:pt idx="67">
                  <c:v>273.23</c:v>
                </c:pt>
                <c:pt idx="68">
                  <c:v>274.10000000000002</c:v>
                </c:pt>
                <c:pt idx="69">
                  <c:v>273.75</c:v>
                </c:pt>
                <c:pt idx="70">
                  <c:v>272.35000000000002</c:v>
                </c:pt>
                <c:pt idx="71">
                  <c:v>270.07</c:v>
                </c:pt>
                <c:pt idx="72">
                  <c:v>267.04000000000002</c:v>
                </c:pt>
                <c:pt idx="73">
                  <c:v>263.39999999999998</c:v>
                </c:pt>
                <c:pt idx="74">
                  <c:v>259.23</c:v>
                </c:pt>
                <c:pt idx="75">
                  <c:v>254.65</c:v>
                </c:pt>
                <c:pt idx="76">
                  <c:v>249.72</c:v>
                </c:pt>
                <c:pt idx="77">
                  <c:v>244.52</c:v>
                </c:pt>
                <c:pt idx="78">
                  <c:v>239.1</c:v>
                </c:pt>
                <c:pt idx="79">
                  <c:v>233.53</c:v>
                </c:pt>
                <c:pt idx="80">
                  <c:v>227.85</c:v>
                </c:pt>
                <c:pt idx="81">
                  <c:v>244.51</c:v>
                </c:pt>
                <c:pt idx="82">
                  <c:v>257.73</c:v>
                </c:pt>
                <c:pt idx="83">
                  <c:v>267.97000000000003</c:v>
                </c:pt>
                <c:pt idx="84">
                  <c:v>275.63</c:v>
                </c:pt>
                <c:pt idx="85">
                  <c:v>281.05</c:v>
                </c:pt>
                <c:pt idx="86">
                  <c:v>284.55</c:v>
                </c:pt>
                <c:pt idx="87">
                  <c:v>286.39</c:v>
                </c:pt>
                <c:pt idx="88">
                  <c:v>286.82</c:v>
                </c:pt>
                <c:pt idx="89">
                  <c:v>286.02999999999997</c:v>
                </c:pt>
                <c:pt idx="90">
                  <c:v>284.22000000000003</c:v>
                </c:pt>
                <c:pt idx="91">
                  <c:v>281.52999999999997</c:v>
                </c:pt>
                <c:pt idx="92">
                  <c:v>278.12</c:v>
                </c:pt>
                <c:pt idx="93">
                  <c:v>274.08999999999997</c:v>
                </c:pt>
                <c:pt idx="94">
                  <c:v>269.57</c:v>
                </c:pt>
                <c:pt idx="95">
                  <c:v>264.63</c:v>
                </c:pt>
                <c:pt idx="96">
                  <c:v>259.36</c:v>
                </c:pt>
                <c:pt idx="97">
                  <c:v>253.83</c:v>
                </c:pt>
                <c:pt idx="98">
                  <c:v>248.1</c:v>
                </c:pt>
                <c:pt idx="99">
                  <c:v>242.22</c:v>
                </c:pt>
                <c:pt idx="100">
                  <c:v>236.24</c:v>
                </c:pt>
                <c:pt idx="101">
                  <c:v>252.62</c:v>
                </c:pt>
                <c:pt idx="102">
                  <c:v>265.56</c:v>
                </c:pt>
                <c:pt idx="103">
                  <c:v>275.54000000000002</c:v>
                </c:pt>
                <c:pt idx="104">
                  <c:v>282.94</c:v>
                </c:pt>
                <c:pt idx="105">
                  <c:v>288.11</c:v>
                </c:pt>
                <c:pt idx="106">
                  <c:v>291.37</c:v>
                </c:pt>
                <c:pt idx="107">
                  <c:v>292.98</c:v>
                </c:pt>
                <c:pt idx="108">
                  <c:v>293.18</c:v>
                </c:pt>
                <c:pt idx="109">
                  <c:v>292.18</c:v>
                </c:pt>
                <c:pt idx="110">
                  <c:v>290.16000000000003</c:v>
                </c:pt>
                <c:pt idx="111">
                  <c:v>287.27</c:v>
                </c:pt>
                <c:pt idx="112">
                  <c:v>283.66000000000003</c:v>
                </c:pt>
                <c:pt idx="113">
                  <c:v>279.44</c:v>
                </c:pt>
                <c:pt idx="114">
                  <c:v>274.73</c:v>
                </c:pt>
                <c:pt idx="115">
                  <c:v>269.62</c:v>
                </c:pt>
                <c:pt idx="116">
                  <c:v>264.18</c:v>
                </c:pt>
                <c:pt idx="117">
                  <c:v>258.49</c:v>
                </c:pt>
                <c:pt idx="118">
                  <c:v>252.6</c:v>
                </c:pt>
                <c:pt idx="119">
                  <c:v>246.57</c:v>
                </c:pt>
                <c:pt idx="120">
                  <c:v>240.44</c:v>
                </c:pt>
                <c:pt idx="121">
                  <c:v>256.67</c:v>
                </c:pt>
                <c:pt idx="122">
                  <c:v>269.48</c:v>
                </c:pt>
                <c:pt idx="123">
                  <c:v>279.32</c:v>
                </c:pt>
                <c:pt idx="124">
                  <c:v>286.58999999999997</c:v>
                </c:pt>
                <c:pt idx="125">
                  <c:v>291.64</c:v>
                </c:pt>
                <c:pt idx="126">
                  <c:v>294.77999999999997</c:v>
                </c:pt>
                <c:pt idx="127">
                  <c:v>296.27</c:v>
                </c:pt>
                <c:pt idx="128">
                  <c:v>296.36</c:v>
                </c:pt>
                <c:pt idx="129">
                  <c:v>295.25</c:v>
                </c:pt>
                <c:pt idx="130">
                  <c:v>293.12</c:v>
                </c:pt>
                <c:pt idx="131">
                  <c:v>290.14</c:v>
                </c:pt>
                <c:pt idx="132">
                  <c:v>286.43</c:v>
                </c:pt>
                <c:pt idx="133">
                  <c:v>282.12</c:v>
                </c:pt>
                <c:pt idx="134">
                  <c:v>277.32</c:v>
                </c:pt>
                <c:pt idx="135">
                  <c:v>272.12</c:v>
                </c:pt>
                <c:pt idx="136">
                  <c:v>266.58999999999997</c:v>
                </c:pt>
                <c:pt idx="137">
                  <c:v>260.82</c:v>
                </c:pt>
                <c:pt idx="138">
                  <c:v>254.85</c:v>
                </c:pt>
                <c:pt idx="139">
                  <c:v>248.74</c:v>
                </c:pt>
                <c:pt idx="140">
                  <c:v>242.54</c:v>
                </c:pt>
                <c:pt idx="141">
                  <c:v>258.7</c:v>
                </c:pt>
                <c:pt idx="142">
                  <c:v>271.44</c:v>
                </c:pt>
                <c:pt idx="143">
                  <c:v>281.20999999999998</c:v>
                </c:pt>
                <c:pt idx="144">
                  <c:v>288.42</c:v>
                </c:pt>
                <c:pt idx="145">
                  <c:v>293.41000000000003</c:v>
                </c:pt>
                <c:pt idx="146">
                  <c:v>296.48</c:v>
                </c:pt>
                <c:pt idx="147">
                  <c:v>297.92</c:v>
                </c:pt>
                <c:pt idx="148">
                  <c:v>297.95</c:v>
                </c:pt>
                <c:pt idx="149">
                  <c:v>296.79000000000002</c:v>
                </c:pt>
                <c:pt idx="150">
                  <c:v>294.61</c:v>
                </c:pt>
                <c:pt idx="151">
                  <c:v>291.57</c:v>
                </c:pt>
                <c:pt idx="152">
                  <c:v>287.81</c:v>
                </c:pt>
                <c:pt idx="153">
                  <c:v>283.45999999999998</c:v>
                </c:pt>
                <c:pt idx="154">
                  <c:v>278.61</c:v>
                </c:pt>
                <c:pt idx="155">
                  <c:v>273.36</c:v>
                </c:pt>
                <c:pt idx="156">
                  <c:v>267.8</c:v>
                </c:pt>
                <c:pt idx="157">
                  <c:v>261.98</c:v>
                </c:pt>
                <c:pt idx="158">
                  <c:v>255.97</c:v>
                </c:pt>
                <c:pt idx="159">
                  <c:v>249.83</c:v>
                </c:pt>
                <c:pt idx="160">
                  <c:v>243.59</c:v>
                </c:pt>
                <c:pt idx="161">
                  <c:v>237.3</c:v>
                </c:pt>
                <c:pt idx="162">
                  <c:v>230.98</c:v>
                </c:pt>
                <c:pt idx="163">
                  <c:v>224.68</c:v>
                </c:pt>
                <c:pt idx="164">
                  <c:v>218.4</c:v>
                </c:pt>
                <c:pt idx="165">
                  <c:v>212.18</c:v>
                </c:pt>
                <c:pt idx="166">
                  <c:v>206.02</c:v>
                </c:pt>
                <c:pt idx="167">
                  <c:v>199.95</c:v>
                </c:pt>
                <c:pt idx="168">
                  <c:v>193.98</c:v>
                </c:pt>
                <c:pt idx="169">
                  <c:v>188.11</c:v>
                </c:pt>
                <c:pt idx="170">
                  <c:v>182.35</c:v>
                </c:pt>
                <c:pt idx="171">
                  <c:v>176.71</c:v>
                </c:pt>
                <c:pt idx="172">
                  <c:v>171.2</c:v>
                </c:pt>
                <c:pt idx="173">
                  <c:v>165.81</c:v>
                </c:pt>
                <c:pt idx="174">
                  <c:v>160.56</c:v>
                </c:pt>
                <c:pt idx="175">
                  <c:v>155.44</c:v>
                </c:pt>
                <c:pt idx="176">
                  <c:v>150.44999999999999</c:v>
                </c:pt>
                <c:pt idx="177">
                  <c:v>145.6</c:v>
                </c:pt>
                <c:pt idx="178">
                  <c:v>140.88</c:v>
                </c:pt>
                <c:pt idx="179">
                  <c:v>136.29</c:v>
                </c:pt>
                <c:pt idx="180">
                  <c:v>131.84</c:v>
                </c:pt>
                <c:pt idx="181">
                  <c:v>127.51</c:v>
                </c:pt>
                <c:pt idx="182">
                  <c:v>123.31</c:v>
                </c:pt>
                <c:pt idx="183">
                  <c:v>119.24</c:v>
                </c:pt>
                <c:pt idx="184">
                  <c:v>115.29</c:v>
                </c:pt>
                <c:pt idx="185">
                  <c:v>111.46</c:v>
                </c:pt>
                <c:pt idx="186">
                  <c:v>107.75</c:v>
                </c:pt>
                <c:pt idx="187">
                  <c:v>104.16</c:v>
                </c:pt>
                <c:pt idx="188">
                  <c:v>100.68</c:v>
                </c:pt>
                <c:pt idx="189">
                  <c:v>97.31</c:v>
                </c:pt>
                <c:pt idx="190">
                  <c:v>94.05</c:v>
                </c:pt>
                <c:pt idx="191">
                  <c:v>90.89</c:v>
                </c:pt>
                <c:pt idx="192">
                  <c:v>87.84</c:v>
                </c:pt>
                <c:pt idx="193">
                  <c:v>84.88</c:v>
                </c:pt>
                <c:pt idx="194">
                  <c:v>82.03</c:v>
                </c:pt>
                <c:pt idx="195">
                  <c:v>79.260000000000005</c:v>
                </c:pt>
                <c:pt idx="196">
                  <c:v>76.59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4B-4224-9A72-C69982CFD4D0}"/>
            </c:ext>
          </c:extLst>
        </c:ser>
        <c:ser>
          <c:idx val="2"/>
          <c:order val="2"/>
          <c:tx>
            <c:strRef>
              <c:f>'Scenario Comparison'!$D$3</c:f>
              <c:strCache>
                <c:ptCount val="1"/>
                <c:pt idx="0">
                  <c:v>Split 1.25mg q3.5d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'Scenario Comparison'!$A$4:$A$200</c:f>
              <c:numCache>
                <c:formatCode>0.0</c:formatCode>
                <c:ptCount val="19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</c:numCache>
            </c:numRef>
          </c:cat>
          <c:val>
            <c:numRef>
              <c:f>'Scenario Comparison'!$D$4:$D$200</c:f>
              <c:numCache>
                <c:formatCode>0.00</c:formatCode>
                <c:ptCount val="197"/>
                <c:pt idx="0">
                  <c:v>0</c:v>
                </c:pt>
                <c:pt idx="1">
                  <c:v>11.21</c:v>
                </c:pt>
                <c:pt idx="2">
                  <c:v>20.72</c:v>
                </c:pt>
                <c:pt idx="3">
                  <c:v>28.74</c:v>
                </c:pt>
                <c:pt idx="4">
                  <c:v>35.47</c:v>
                </c:pt>
                <c:pt idx="5">
                  <c:v>41.06</c:v>
                </c:pt>
                <c:pt idx="6">
                  <c:v>45.66</c:v>
                </c:pt>
                <c:pt idx="7">
                  <c:v>49.4</c:v>
                </c:pt>
                <c:pt idx="8">
                  <c:v>52.39</c:v>
                </c:pt>
                <c:pt idx="9">
                  <c:v>54.73</c:v>
                </c:pt>
                <c:pt idx="10">
                  <c:v>56.5</c:v>
                </c:pt>
                <c:pt idx="11">
                  <c:v>57.79</c:v>
                </c:pt>
                <c:pt idx="12">
                  <c:v>58.65</c:v>
                </c:pt>
                <c:pt idx="13">
                  <c:v>59.16</c:v>
                </c:pt>
                <c:pt idx="14">
                  <c:v>59.35</c:v>
                </c:pt>
                <c:pt idx="15">
                  <c:v>59.27</c:v>
                </c:pt>
                <c:pt idx="16">
                  <c:v>58.97</c:v>
                </c:pt>
                <c:pt idx="17">
                  <c:v>69.69</c:v>
                </c:pt>
                <c:pt idx="18">
                  <c:v>78.55</c:v>
                </c:pt>
                <c:pt idx="19">
                  <c:v>85.78</c:v>
                </c:pt>
                <c:pt idx="20">
                  <c:v>91.61</c:v>
                </c:pt>
                <c:pt idx="21">
                  <c:v>96.2</c:v>
                </c:pt>
                <c:pt idx="22">
                  <c:v>99.74</c:v>
                </c:pt>
                <c:pt idx="23">
                  <c:v>102.35</c:v>
                </c:pt>
                <c:pt idx="24">
                  <c:v>104.17</c:v>
                </c:pt>
                <c:pt idx="25">
                  <c:v>105.3</c:v>
                </c:pt>
                <c:pt idx="26">
                  <c:v>105.85</c:v>
                </c:pt>
                <c:pt idx="27">
                  <c:v>105.89</c:v>
                </c:pt>
                <c:pt idx="28">
                  <c:v>105.5</c:v>
                </c:pt>
                <c:pt idx="29">
                  <c:v>115.95</c:v>
                </c:pt>
                <c:pt idx="30">
                  <c:v>124.4</c:v>
                </c:pt>
                <c:pt idx="31">
                  <c:v>131.1</c:v>
                </c:pt>
                <c:pt idx="32">
                  <c:v>136.29</c:v>
                </c:pt>
                <c:pt idx="33">
                  <c:v>140.16999999999999</c:v>
                </c:pt>
                <c:pt idx="34">
                  <c:v>142.91999999999999</c:v>
                </c:pt>
                <c:pt idx="35">
                  <c:v>144.68</c:v>
                </c:pt>
                <c:pt idx="36">
                  <c:v>145.61000000000001</c:v>
                </c:pt>
                <c:pt idx="37">
                  <c:v>145.82</c:v>
                </c:pt>
                <c:pt idx="38">
                  <c:v>145.41</c:v>
                </c:pt>
                <c:pt idx="39">
                  <c:v>144.47999999999999</c:v>
                </c:pt>
                <c:pt idx="40">
                  <c:v>143.11000000000001</c:v>
                </c:pt>
                <c:pt idx="41">
                  <c:v>152.58000000000001</c:v>
                </c:pt>
                <c:pt idx="42">
                  <c:v>160.04</c:v>
                </c:pt>
                <c:pt idx="43">
                  <c:v>165.76</c:v>
                </c:pt>
                <c:pt idx="44">
                  <c:v>169.97</c:v>
                </c:pt>
                <c:pt idx="45">
                  <c:v>172.88</c:v>
                </c:pt>
                <c:pt idx="46">
                  <c:v>174.67</c:v>
                </c:pt>
                <c:pt idx="47">
                  <c:v>175.5</c:v>
                </c:pt>
                <c:pt idx="48">
                  <c:v>175.5</c:v>
                </c:pt>
                <c:pt idx="49">
                  <c:v>174.8</c:v>
                </c:pt>
                <c:pt idx="50">
                  <c:v>173.5</c:v>
                </c:pt>
                <c:pt idx="51">
                  <c:v>171.7</c:v>
                </c:pt>
                <c:pt idx="52">
                  <c:v>169.48</c:v>
                </c:pt>
                <c:pt idx="53">
                  <c:v>166.9</c:v>
                </c:pt>
                <c:pt idx="54">
                  <c:v>164.04</c:v>
                </c:pt>
                <c:pt idx="55">
                  <c:v>160.94999999999999</c:v>
                </c:pt>
                <c:pt idx="56">
                  <c:v>157.66</c:v>
                </c:pt>
                <c:pt idx="57">
                  <c:v>165.44</c:v>
                </c:pt>
                <c:pt idx="58">
                  <c:v>171.41</c:v>
                </c:pt>
                <c:pt idx="59">
                  <c:v>175.81</c:v>
                </c:pt>
                <c:pt idx="60">
                  <c:v>178.86</c:v>
                </c:pt>
                <c:pt idx="61">
                  <c:v>180.75</c:v>
                </c:pt>
                <c:pt idx="62">
                  <c:v>181.63</c:v>
                </c:pt>
                <c:pt idx="63">
                  <c:v>181.65</c:v>
                </c:pt>
                <c:pt idx="64">
                  <c:v>180.95</c:v>
                </c:pt>
                <c:pt idx="65">
                  <c:v>179.62</c:v>
                </c:pt>
                <c:pt idx="66">
                  <c:v>177.77</c:v>
                </c:pt>
                <c:pt idx="67">
                  <c:v>175.48</c:v>
                </c:pt>
                <c:pt idx="68">
                  <c:v>172.83</c:v>
                </c:pt>
                <c:pt idx="69">
                  <c:v>169.88</c:v>
                </c:pt>
                <c:pt idx="70">
                  <c:v>166.68</c:v>
                </c:pt>
                <c:pt idx="71">
                  <c:v>163.29</c:v>
                </c:pt>
                <c:pt idx="72">
                  <c:v>159.74</c:v>
                </c:pt>
                <c:pt idx="73">
                  <c:v>167.29</c:v>
                </c:pt>
                <c:pt idx="74">
                  <c:v>173.05</c:v>
                </c:pt>
                <c:pt idx="75">
                  <c:v>177.27</c:v>
                </c:pt>
                <c:pt idx="76">
                  <c:v>180.16</c:v>
                </c:pt>
                <c:pt idx="77">
                  <c:v>181.9</c:v>
                </c:pt>
                <c:pt idx="78">
                  <c:v>182.66</c:v>
                </c:pt>
                <c:pt idx="79">
                  <c:v>182.57</c:v>
                </c:pt>
                <c:pt idx="80">
                  <c:v>181.77</c:v>
                </c:pt>
                <c:pt idx="81">
                  <c:v>180.35</c:v>
                </c:pt>
                <c:pt idx="82">
                  <c:v>178.42</c:v>
                </c:pt>
                <c:pt idx="83">
                  <c:v>176.07</c:v>
                </c:pt>
                <c:pt idx="84">
                  <c:v>173.35</c:v>
                </c:pt>
                <c:pt idx="85">
                  <c:v>181.56</c:v>
                </c:pt>
                <c:pt idx="86">
                  <c:v>187.82</c:v>
                </c:pt>
                <c:pt idx="87">
                  <c:v>192.41</c:v>
                </c:pt>
                <c:pt idx="88">
                  <c:v>195.55</c:v>
                </c:pt>
                <c:pt idx="89">
                  <c:v>197.45</c:v>
                </c:pt>
                <c:pt idx="90">
                  <c:v>198.27</c:v>
                </c:pt>
                <c:pt idx="91">
                  <c:v>198.18</c:v>
                </c:pt>
                <c:pt idx="92">
                  <c:v>197.31</c:v>
                </c:pt>
                <c:pt idx="93">
                  <c:v>195.78</c:v>
                </c:pt>
                <c:pt idx="94">
                  <c:v>193.69</c:v>
                </c:pt>
                <c:pt idx="95">
                  <c:v>191.13</c:v>
                </c:pt>
                <c:pt idx="96">
                  <c:v>188.19</c:v>
                </c:pt>
                <c:pt idx="97">
                  <c:v>196.13</c:v>
                </c:pt>
                <c:pt idx="98">
                  <c:v>202.12</c:v>
                </c:pt>
                <c:pt idx="99">
                  <c:v>206.42</c:v>
                </c:pt>
                <c:pt idx="100">
                  <c:v>209.25</c:v>
                </c:pt>
                <c:pt idx="101">
                  <c:v>210.83</c:v>
                </c:pt>
                <c:pt idx="102">
                  <c:v>211.34</c:v>
                </c:pt>
                <c:pt idx="103">
                  <c:v>210.92</c:v>
                </c:pt>
                <c:pt idx="104">
                  <c:v>209.72</c:v>
                </c:pt>
                <c:pt idx="105">
                  <c:v>207.86</c:v>
                </c:pt>
                <c:pt idx="106">
                  <c:v>205.44</c:v>
                </c:pt>
                <c:pt idx="107">
                  <c:v>202.55</c:v>
                </c:pt>
                <c:pt idx="108">
                  <c:v>199.28</c:v>
                </c:pt>
                <c:pt idx="109">
                  <c:v>195.7</c:v>
                </c:pt>
                <c:pt idx="110">
                  <c:v>191.86</c:v>
                </c:pt>
                <c:pt idx="111">
                  <c:v>187.82</c:v>
                </c:pt>
                <c:pt idx="112">
                  <c:v>183.62</c:v>
                </c:pt>
                <c:pt idx="113">
                  <c:v>190.52</c:v>
                </c:pt>
                <c:pt idx="114">
                  <c:v>195.63</c:v>
                </c:pt>
                <c:pt idx="115">
                  <c:v>199.21</c:v>
                </c:pt>
                <c:pt idx="116">
                  <c:v>201.47</c:v>
                </c:pt>
                <c:pt idx="117">
                  <c:v>202.58</c:v>
                </c:pt>
                <c:pt idx="118">
                  <c:v>202.72</c:v>
                </c:pt>
                <c:pt idx="119">
                  <c:v>202.03</c:v>
                </c:pt>
                <c:pt idx="120">
                  <c:v>200.63</c:v>
                </c:pt>
                <c:pt idx="121">
                  <c:v>198.63</c:v>
                </c:pt>
                <c:pt idx="122">
                  <c:v>196.13</c:v>
                </c:pt>
                <c:pt idx="123">
                  <c:v>193.22</c:v>
                </c:pt>
                <c:pt idx="124">
                  <c:v>189.96</c:v>
                </c:pt>
                <c:pt idx="125">
                  <c:v>186.43</c:v>
                </c:pt>
                <c:pt idx="126">
                  <c:v>182.67</c:v>
                </c:pt>
                <c:pt idx="127">
                  <c:v>178.73</c:v>
                </c:pt>
                <c:pt idx="128">
                  <c:v>174.66</c:v>
                </c:pt>
                <c:pt idx="129">
                  <c:v>181.7</c:v>
                </c:pt>
                <c:pt idx="130">
                  <c:v>186.97</c:v>
                </c:pt>
                <c:pt idx="131">
                  <c:v>190.72</c:v>
                </c:pt>
                <c:pt idx="132">
                  <c:v>193.15</c:v>
                </c:pt>
                <c:pt idx="133">
                  <c:v>194.45</c:v>
                </c:pt>
                <c:pt idx="134">
                  <c:v>194.77</c:v>
                </c:pt>
                <c:pt idx="135">
                  <c:v>194.28</c:v>
                </c:pt>
                <c:pt idx="136">
                  <c:v>193.07</c:v>
                </c:pt>
                <c:pt idx="137">
                  <c:v>191.27</c:v>
                </c:pt>
                <c:pt idx="138">
                  <c:v>188.97</c:v>
                </c:pt>
                <c:pt idx="139">
                  <c:v>186.26</c:v>
                </c:pt>
                <c:pt idx="140">
                  <c:v>183.2</c:v>
                </c:pt>
                <c:pt idx="141">
                  <c:v>191.06</c:v>
                </c:pt>
                <c:pt idx="142">
                  <c:v>197.01</c:v>
                </c:pt>
                <c:pt idx="143">
                  <c:v>201.28</c:v>
                </c:pt>
                <c:pt idx="144">
                  <c:v>204.12</c:v>
                </c:pt>
                <c:pt idx="145">
                  <c:v>205.72</c:v>
                </c:pt>
                <c:pt idx="146">
                  <c:v>206.27</c:v>
                </c:pt>
                <c:pt idx="147">
                  <c:v>205.9</c:v>
                </c:pt>
                <c:pt idx="148">
                  <c:v>204.77</c:v>
                </c:pt>
                <c:pt idx="149">
                  <c:v>202.98</c:v>
                </c:pt>
                <c:pt idx="150">
                  <c:v>200.65</c:v>
                </c:pt>
                <c:pt idx="151">
                  <c:v>197.86</c:v>
                </c:pt>
                <c:pt idx="152">
                  <c:v>194.68</c:v>
                </c:pt>
                <c:pt idx="153">
                  <c:v>202.41</c:v>
                </c:pt>
                <c:pt idx="154">
                  <c:v>208.18</c:v>
                </c:pt>
                <c:pt idx="155">
                  <c:v>212.27</c:v>
                </c:pt>
                <c:pt idx="156">
                  <c:v>214.91</c:v>
                </c:pt>
                <c:pt idx="157">
                  <c:v>216.3</c:v>
                </c:pt>
                <c:pt idx="158">
                  <c:v>216.61</c:v>
                </c:pt>
                <c:pt idx="159">
                  <c:v>216.01</c:v>
                </c:pt>
                <c:pt idx="160">
                  <c:v>214.64</c:v>
                </c:pt>
                <c:pt idx="161">
                  <c:v>212.61</c:v>
                </c:pt>
                <c:pt idx="162">
                  <c:v>210.03</c:v>
                </c:pt>
                <c:pt idx="163">
                  <c:v>206.99</c:v>
                </c:pt>
                <c:pt idx="164">
                  <c:v>203.57</c:v>
                </c:pt>
                <c:pt idx="165">
                  <c:v>199.84</c:v>
                </c:pt>
                <c:pt idx="166">
                  <c:v>195.86</c:v>
                </c:pt>
                <c:pt idx="167">
                  <c:v>191.68</c:v>
                </c:pt>
                <c:pt idx="168">
                  <c:v>187.35</c:v>
                </c:pt>
                <c:pt idx="169">
                  <c:v>194.12</c:v>
                </c:pt>
                <c:pt idx="170">
                  <c:v>199.11</c:v>
                </c:pt>
                <c:pt idx="171">
                  <c:v>202.57</c:v>
                </c:pt>
                <c:pt idx="172">
                  <c:v>204.71</c:v>
                </c:pt>
                <c:pt idx="173">
                  <c:v>205.72</c:v>
                </c:pt>
                <c:pt idx="174">
                  <c:v>205.75</c:v>
                </c:pt>
                <c:pt idx="175">
                  <c:v>204.95</c:v>
                </c:pt>
                <c:pt idx="176">
                  <c:v>203.45</c:v>
                </c:pt>
                <c:pt idx="177">
                  <c:v>201.36</c:v>
                </c:pt>
                <c:pt idx="178">
                  <c:v>198.77</c:v>
                </c:pt>
                <c:pt idx="179">
                  <c:v>195.77</c:v>
                </c:pt>
                <c:pt idx="180">
                  <c:v>192.43</c:v>
                </c:pt>
                <c:pt idx="181">
                  <c:v>188.81</c:v>
                </c:pt>
                <c:pt idx="182">
                  <c:v>184.96</c:v>
                </c:pt>
                <c:pt idx="183">
                  <c:v>180.95</c:v>
                </c:pt>
                <c:pt idx="184">
                  <c:v>176.8</c:v>
                </c:pt>
                <c:pt idx="185">
                  <c:v>172.56</c:v>
                </c:pt>
                <c:pt idx="186">
                  <c:v>168.25</c:v>
                </c:pt>
                <c:pt idx="187">
                  <c:v>163.91</c:v>
                </c:pt>
                <c:pt idx="188">
                  <c:v>159.55000000000001</c:v>
                </c:pt>
                <c:pt idx="189">
                  <c:v>155.19</c:v>
                </c:pt>
                <c:pt idx="190">
                  <c:v>150.86000000000001</c:v>
                </c:pt>
                <c:pt idx="191">
                  <c:v>146.56</c:v>
                </c:pt>
                <c:pt idx="192">
                  <c:v>142.31</c:v>
                </c:pt>
                <c:pt idx="193">
                  <c:v>138.12</c:v>
                </c:pt>
                <c:pt idx="194">
                  <c:v>133.99</c:v>
                </c:pt>
                <c:pt idx="195">
                  <c:v>129.94</c:v>
                </c:pt>
                <c:pt idx="196">
                  <c:v>125.96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34B-4224-9A72-C69982CFD4D0}"/>
            </c:ext>
          </c:extLst>
        </c:ser>
        <c:ser>
          <c:idx val="3"/>
          <c:order val="3"/>
          <c:tx>
            <c:strRef>
              <c:f>'Scenario Comparison'!$E$3</c:f>
              <c:strCache>
                <c:ptCount val="1"/>
                <c:pt idx="0">
                  <c:v>Your Ladder: q7→q6→q5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'Scenario Comparison'!$A$4:$A$200</c:f>
              <c:numCache>
                <c:formatCode>0.0</c:formatCode>
                <c:ptCount val="19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</c:numCache>
            </c:numRef>
          </c:cat>
          <c:val>
            <c:numRef>
              <c:f>'Scenario Comparison'!$E$4:$E$200</c:f>
              <c:numCache>
                <c:formatCode>0.00</c:formatCode>
                <c:ptCount val="197"/>
                <c:pt idx="0">
                  <c:v>0</c:v>
                </c:pt>
                <c:pt idx="1">
                  <c:v>22.42</c:v>
                </c:pt>
                <c:pt idx="2">
                  <c:v>41.44</c:v>
                </c:pt>
                <c:pt idx="3">
                  <c:v>57.48</c:v>
                </c:pt>
                <c:pt idx="4">
                  <c:v>70.930000000000007</c:v>
                </c:pt>
                <c:pt idx="5">
                  <c:v>82.11</c:v>
                </c:pt>
                <c:pt idx="6">
                  <c:v>91.32</c:v>
                </c:pt>
                <c:pt idx="7">
                  <c:v>98.79</c:v>
                </c:pt>
                <c:pt idx="8">
                  <c:v>104.77</c:v>
                </c:pt>
                <c:pt idx="9">
                  <c:v>109.45</c:v>
                </c:pt>
                <c:pt idx="10">
                  <c:v>113</c:v>
                </c:pt>
                <c:pt idx="11">
                  <c:v>115.57</c:v>
                </c:pt>
                <c:pt idx="12">
                  <c:v>117.31</c:v>
                </c:pt>
                <c:pt idx="13">
                  <c:v>118.31</c:v>
                </c:pt>
                <c:pt idx="14">
                  <c:v>118.7</c:v>
                </c:pt>
                <c:pt idx="15">
                  <c:v>118.55</c:v>
                </c:pt>
                <c:pt idx="16">
                  <c:v>117.95</c:v>
                </c:pt>
                <c:pt idx="17">
                  <c:v>116.96</c:v>
                </c:pt>
                <c:pt idx="18">
                  <c:v>115.66</c:v>
                </c:pt>
                <c:pt idx="19">
                  <c:v>114.08</c:v>
                </c:pt>
                <c:pt idx="20">
                  <c:v>112.28</c:v>
                </c:pt>
                <c:pt idx="21">
                  <c:v>110.29</c:v>
                </c:pt>
                <c:pt idx="22">
                  <c:v>108.16</c:v>
                </c:pt>
                <c:pt idx="23">
                  <c:v>105.91</c:v>
                </c:pt>
                <c:pt idx="24">
                  <c:v>103.57</c:v>
                </c:pt>
                <c:pt idx="25">
                  <c:v>101.16</c:v>
                </c:pt>
                <c:pt idx="26">
                  <c:v>98.69</c:v>
                </c:pt>
                <c:pt idx="27">
                  <c:v>96.2</c:v>
                </c:pt>
                <c:pt idx="28">
                  <c:v>93.69</c:v>
                </c:pt>
                <c:pt idx="29">
                  <c:v>113.59</c:v>
                </c:pt>
                <c:pt idx="30">
                  <c:v>130.11000000000001</c:v>
                </c:pt>
                <c:pt idx="31">
                  <c:v>143.66</c:v>
                </c:pt>
                <c:pt idx="32">
                  <c:v>154.63999999999999</c:v>
                </c:pt>
                <c:pt idx="33">
                  <c:v>163.38</c:v>
                </c:pt>
                <c:pt idx="34">
                  <c:v>170.17</c:v>
                </c:pt>
                <c:pt idx="35">
                  <c:v>175.29</c:v>
                </c:pt>
                <c:pt idx="36">
                  <c:v>178.94</c:v>
                </c:pt>
                <c:pt idx="37">
                  <c:v>181.34</c:v>
                </c:pt>
                <c:pt idx="38">
                  <c:v>182.66</c:v>
                </c:pt>
                <c:pt idx="39">
                  <c:v>183.06</c:v>
                </c:pt>
                <c:pt idx="40">
                  <c:v>182.66</c:v>
                </c:pt>
                <c:pt idx="41">
                  <c:v>181.59</c:v>
                </c:pt>
                <c:pt idx="42">
                  <c:v>179.95</c:v>
                </c:pt>
                <c:pt idx="43">
                  <c:v>177.84</c:v>
                </c:pt>
                <c:pt idx="44">
                  <c:v>175.32</c:v>
                </c:pt>
                <c:pt idx="45">
                  <c:v>172.47</c:v>
                </c:pt>
                <c:pt idx="46">
                  <c:v>169.36</c:v>
                </c:pt>
                <c:pt idx="47">
                  <c:v>166.02</c:v>
                </c:pt>
                <c:pt idx="48">
                  <c:v>162.52000000000001</c:v>
                </c:pt>
                <c:pt idx="49">
                  <c:v>158.88</c:v>
                </c:pt>
                <c:pt idx="50">
                  <c:v>155.13999999999999</c:v>
                </c:pt>
                <c:pt idx="51">
                  <c:v>151.33000000000001</c:v>
                </c:pt>
                <c:pt idx="52">
                  <c:v>147.47999999999999</c:v>
                </c:pt>
                <c:pt idx="53">
                  <c:v>143.6</c:v>
                </c:pt>
                <c:pt idx="54">
                  <c:v>139.72999999999999</c:v>
                </c:pt>
                <c:pt idx="55">
                  <c:v>135.86000000000001</c:v>
                </c:pt>
                <c:pt idx="56">
                  <c:v>132.02000000000001</c:v>
                </c:pt>
                <c:pt idx="57">
                  <c:v>150.63999999999999</c:v>
                </c:pt>
                <c:pt idx="58">
                  <c:v>165.91</c:v>
                </c:pt>
                <c:pt idx="59">
                  <c:v>178.26</c:v>
                </c:pt>
                <c:pt idx="60">
                  <c:v>188.07</c:v>
                </c:pt>
                <c:pt idx="61">
                  <c:v>195.69</c:v>
                </c:pt>
                <c:pt idx="62">
                  <c:v>201.39</c:v>
                </c:pt>
                <c:pt idx="63">
                  <c:v>205.45</c:v>
                </c:pt>
                <c:pt idx="64">
                  <c:v>208.09</c:v>
                </c:pt>
                <c:pt idx="65">
                  <c:v>209.5</c:v>
                </c:pt>
                <c:pt idx="66">
                  <c:v>209.87</c:v>
                </c:pt>
                <c:pt idx="67">
                  <c:v>209.34</c:v>
                </c:pt>
                <c:pt idx="68">
                  <c:v>208.06</c:v>
                </c:pt>
                <c:pt idx="69">
                  <c:v>206.13</c:v>
                </c:pt>
                <c:pt idx="70">
                  <c:v>203.66</c:v>
                </c:pt>
                <c:pt idx="71">
                  <c:v>200.74</c:v>
                </c:pt>
                <c:pt idx="72">
                  <c:v>197.44</c:v>
                </c:pt>
                <c:pt idx="73">
                  <c:v>193.85</c:v>
                </c:pt>
                <c:pt idx="74">
                  <c:v>190</c:v>
                </c:pt>
                <c:pt idx="75">
                  <c:v>185.97</c:v>
                </c:pt>
                <c:pt idx="76">
                  <c:v>181.78</c:v>
                </c:pt>
                <c:pt idx="77">
                  <c:v>177.49</c:v>
                </c:pt>
                <c:pt idx="78">
                  <c:v>173.12</c:v>
                </c:pt>
                <c:pt idx="79">
                  <c:v>168.7</c:v>
                </c:pt>
                <c:pt idx="80">
                  <c:v>164.26</c:v>
                </c:pt>
                <c:pt idx="81">
                  <c:v>182.23</c:v>
                </c:pt>
                <c:pt idx="82">
                  <c:v>196.82</c:v>
                </c:pt>
                <c:pt idx="83">
                  <c:v>208.47</c:v>
                </c:pt>
                <c:pt idx="84">
                  <c:v>217.57</c:v>
                </c:pt>
                <c:pt idx="85">
                  <c:v>224.45</c:v>
                </c:pt>
                <c:pt idx="86">
                  <c:v>229.42</c:v>
                </c:pt>
                <c:pt idx="87">
                  <c:v>232.74</c:v>
                </c:pt>
                <c:pt idx="88">
                  <c:v>234.63</c:v>
                </c:pt>
                <c:pt idx="89">
                  <c:v>235.31</c:v>
                </c:pt>
                <c:pt idx="90">
                  <c:v>234.95</c:v>
                </c:pt>
                <c:pt idx="91">
                  <c:v>233.7</c:v>
                </c:pt>
                <c:pt idx="92">
                  <c:v>231.7</c:v>
                </c:pt>
                <c:pt idx="93">
                  <c:v>229.06</c:v>
                </c:pt>
                <c:pt idx="94">
                  <c:v>225.9</c:v>
                </c:pt>
                <c:pt idx="95">
                  <c:v>222.3</c:v>
                </c:pt>
                <c:pt idx="96">
                  <c:v>218.34</c:v>
                </c:pt>
                <c:pt idx="97">
                  <c:v>214.09</c:v>
                </c:pt>
                <c:pt idx="98">
                  <c:v>209.62</c:v>
                </c:pt>
                <c:pt idx="99">
                  <c:v>204.96</c:v>
                </c:pt>
                <c:pt idx="100">
                  <c:v>200.17</c:v>
                </c:pt>
                <c:pt idx="101">
                  <c:v>195.29</c:v>
                </c:pt>
                <c:pt idx="102">
                  <c:v>190.34</c:v>
                </c:pt>
                <c:pt idx="103">
                  <c:v>185.36</c:v>
                </c:pt>
                <c:pt idx="104">
                  <c:v>180.38</c:v>
                </c:pt>
                <c:pt idx="105">
                  <c:v>197.83</c:v>
                </c:pt>
                <c:pt idx="106">
                  <c:v>211.91</c:v>
                </c:pt>
                <c:pt idx="107">
                  <c:v>223.06</c:v>
                </c:pt>
                <c:pt idx="108">
                  <c:v>231.68</c:v>
                </c:pt>
                <c:pt idx="109">
                  <c:v>238.09</c:v>
                </c:pt>
                <c:pt idx="110">
                  <c:v>242.61</c:v>
                </c:pt>
                <c:pt idx="111">
                  <c:v>245.49</c:v>
                </c:pt>
                <c:pt idx="112">
                  <c:v>246.96</c:v>
                </c:pt>
                <c:pt idx="113">
                  <c:v>247.23</c:v>
                </c:pt>
                <c:pt idx="114">
                  <c:v>246.46</c:v>
                </c:pt>
                <c:pt idx="115">
                  <c:v>244.83</c:v>
                </c:pt>
                <c:pt idx="116">
                  <c:v>242.45</c:v>
                </c:pt>
                <c:pt idx="117">
                  <c:v>239.46</c:v>
                </c:pt>
                <c:pt idx="118">
                  <c:v>235.95</c:v>
                </c:pt>
                <c:pt idx="119">
                  <c:v>232.01</c:v>
                </c:pt>
                <c:pt idx="120">
                  <c:v>227.72</c:v>
                </c:pt>
                <c:pt idx="121">
                  <c:v>223.16</c:v>
                </c:pt>
                <c:pt idx="122">
                  <c:v>218.37</c:v>
                </c:pt>
                <c:pt idx="123">
                  <c:v>213.42</c:v>
                </c:pt>
                <c:pt idx="124">
                  <c:v>208.35</c:v>
                </c:pt>
                <c:pt idx="125">
                  <c:v>225.6</c:v>
                </c:pt>
                <c:pt idx="126">
                  <c:v>239.41</c:v>
                </c:pt>
                <c:pt idx="127">
                  <c:v>250.22</c:v>
                </c:pt>
                <c:pt idx="128">
                  <c:v>258.44</c:v>
                </c:pt>
                <c:pt idx="129">
                  <c:v>264.39999999999998</c:v>
                </c:pt>
                <c:pt idx="130">
                  <c:v>268.43</c:v>
                </c:pt>
                <c:pt idx="131">
                  <c:v>270.79000000000002</c:v>
                </c:pt>
                <c:pt idx="132">
                  <c:v>271.72000000000003</c:v>
                </c:pt>
                <c:pt idx="133">
                  <c:v>271.42</c:v>
                </c:pt>
                <c:pt idx="134">
                  <c:v>270.08</c:v>
                </c:pt>
                <c:pt idx="135">
                  <c:v>267.86</c:v>
                </c:pt>
                <c:pt idx="136">
                  <c:v>264.89999999999998</c:v>
                </c:pt>
                <c:pt idx="137">
                  <c:v>261.31</c:v>
                </c:pt>
                <c:pt idx="138">
                  <c:v>257.2</c:v>
                </c:pt>
                <c:pt idx="139">
                  <c:v>252.67</c:v>
                </c:pt>
                <c:pt idx="140">
                  <c:v>247.8</c:v>
                </c:pt>
                <c:pt idx="141">
                  <c:v>242.65</c:v>
                </c:pt>
                <c:pt idx="142">
                  <c:v>237.3</c:v>
                </c:pt>
                <c:pt idx="143">
                  <c:v>231.78</c:v>
                </c:pt>
                <c:pt idx="144">
                  <c:v>226.15</c:v>
                </c:pt>
                <c:pt idx="145">
                  <c:v>242.86</c:v>
                </c:pt>
                <c:pt idx="146">
                  <c:v>256.14</c:v>
                </c:pt>
                <c:pt idx="147">
                  <c:v>266.43</c:v>
                </c:pt>
                <c:pt idx="148">
                  <c:v>274.13</c:v>
                </c:pt>
                <c:pt idx="149">
                  <c:v>279.60000000000002</c:v>
                </c:pt>
                <c:pt idx="150">
                  <c:v>283.14999999999998</c:v>
                </c:pt>
                <c:pt idx="151">
                  <c:v>285.04000000000002</c:v>
                </c:pt>
                <c:pt idx="152">
                  <c:v>285.51</c:v>
                </c:pt>
                <c:pt idx="153">
                  <c:v>284.76</c:v>
                </c:pt>
                <c:pt idx="154">
                  <c:v>282.99</c:v>
                </c:pt>
                <c:pt idx="155">
                  <c:v>280.35000000000002</c:v>
                </c:pt>
                <c:pt idx="156">
                  <c:v>276.97000000000003</c:v>
                </c:pt>
                <c:pt idx="157">
                  <c:v>272.98</c:v>
                </c:pt>
                <c:pt idx="158">
                  <c:v>268.49</c:v>
                </c:pt>
                <c:pt idx="159">
                  <c:v>263.58999999999997</c:v>
                </c:pt>
                <c:pt idx="160">
                  <c:v>258.35000000000002</c:v>
                </c:pt>
                <c:pt idx="161">
                  <c:v>252.86</c:v>
                </c:pt>
                <c:pt idx="162">
                  <c:v>247.16</c:v>
                </c:pt>
                <c:pt idx="163">
                  <c:v>241.32</c:v>
                </c:pt>
                <c:pt idx="164">
                  <c:v>235.37</c:v>
                </c:pt>
                <c:pt idx="165">
                  <c:v>251.77</c:v>
                </c:pt>
                <c:pt idx="166">
                  <c:v>264.75</c:v>
                </c:pt>
                <c:pt idx="167">
                  <c:v>274.75</c:v>
                </c:pt>
                <c:pt idx="168">
                  <c:v>282.17</c:v>
                </c:pt>
                <c:pt idx="169">
                  <c:v>287.37</c:v>
                </c:pt>
                <c:pt idx="170">
                  <c:v>290.66000000000003</c:v>
                </c:pt>
                <c:pt idx="171">
                  <c:v>292.29000000000002</c:v>
                </c:pt>
                <c:pt idx="172">
                  <c:v>292.52</c:v>
                </c:pt>
                <c:pt idx="173">
                  <c:v>291.54000000000002</c:v>
                </c:pt>
                <c:pt idx="174">
                  <c:v>289.52999999999997</c:v>
                </c:pt>
                <c:pt idx="175">
                  <c:v>286.67</c:v>
                </c:pt>
                <c:pt idx="176">
                  <c:v>283.08</c:v>
                </c:pt>
                <c:pt idx="177">
                  <c:v>278.88</c:v>
                </c:pt>
                <c:pt idx="178">
                  <c:v>274.19</c:v>
                </c:pt>
                <c:pt idx="179">
                  <c:v>269.10000000000002</c:v>
                </c:pt>
                <c:pt idx="180">
                  <c:v>263.68</c:v>
                </c:pt>
                <c:pt idx="181">
                  <c:v>258</c:v>
                </c:pt>
                <c:pt idx="182">
                  <c:v>252.13</c:v>
                </c:pt>
                <c:pt idx="183">
                  <c:v>246.11</c:v>
                </c:pt>
                <c:pt idx="184">
                  <c:v>240</c:v>
                </c:pt>
                <c:pt idx="185">
                  <c:v>233.83</c:v>
                </c:pt>
                <c:pt idx="186">
                  <c:v>227.63</c:v>
                </c:pt>
                <c:pt idx="187">
                  <c:v>221.44</c:v>
                </c:pt>
                <c:pt idx="188">
                  <c:v>215.28</c:v>
                </c:pt>
                <c:pt idx="189">
                  <c:v>209.16</c:v>
                </c:pt>
                <c:pt idx="190">
                  <c:v>203.11</c:v>
                </c:pt>
                <c:pt idx="191">
                  <c:v>197.14</c:v>
                </c:pt>
                <c:pt idx="192">
                  <c:v>191.26</c:v>
                </c:pt>
                <c:pt idx="193">
                  <c:v>185.48</c:v>
                </c:pt>
                <c:pt idx="194">
                  <c:v>179.81</c:v>
                </c:pt>
                <c:pt idx="195">
                  <c:v>174.26</c:v>
                </c:pt>
                <c:pt idx="196">
                  <c:v>168.83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34B-4224-9A72-C69982CFD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Day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Concentration (ng/mL)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499110</xdr:colOff>
      <xdr:row>8</xdr:row>
      <xdr:rowOff>15240</xdr:rowOff>
    </xdr:from>
    <xdr:to>
      <xdr:col>22</xdr:col>
      <xdr:colOff>297180</xdr:colOff>
      <xdr:row>33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0F8E84-AEE3-9BBD-DEF9-31F4BCA1A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202</xdr:row>
      <xdr:rowOff>0</xdr:rowOff>
    </xdr:from>
    <xdr:ext cx="1152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topLeftCell="B1" workbookViewId="0">
      <selection activeCell="N40" sqref="N40"/>
    </sheetView>
  </sheetViews>
  <sheetFormatPr defaultRowHeight="14.4" x14ac:dyDescent="0.3"/>
  <cols>
    <col min="1" max="2" width="22" customWidth="1"/>
    <col min="3" max="3" width="14" customWidth="1"/>
    <col min="4" max="4" width="52" customWidth="1"/>
    <col min="5" max="9" width="16" customWidth="1"/>
  </cols>
  <sheetData>
    <row r="1" spans="1:9" ht="21" x14ac:dyDescent="0.4">
      <c r="A1" s="13" t="s">
        <v>0</v>
      </c>
      <c r="B1" s="13"/>
      <c r="C1" s="14"/>
      <c r="D1" s="14"/>
      <c r="E1" s="14"/>
      <c r="F1" s="14"/>
      <c r="G1" s="14"/>
    </row>
    <row r="3" spans="1:9" ht="15.6" x14ac:dyDescent="0.3">
      <c r="A3" s="1" t="s">
        <v>1</v>
      </c>
      <c r="B3" s="1"/>
    </row>
    <row r="4" spans="1:9" x14ac:dyDescent="0.3">
      <c r="A4" t="s">
        <v>2</v>
      </c>
      <c r="C4" s="2">
        <v>5</v>
      </c>
      <c r="D4" s="3" t="s">
        <v>3</v>
      </c>
    </row>
    <row r="5" spans="1:9" x14ac:dyDescent="0.3">
      <c r="A5" t="s">
        <v>4</v>
      </c>
      <c r="C5" s="4">
        <f>LN(2)/C4</f>
        <v>0.13862943611198905</v>
      </c>
      <c r="D5" s="3" t="s">
        <v>5</v>
      </c>
    </row>
    <row r="6" spans="1:9" x14ac:dyDescent="0.3">
      <c r="A6" t="s">
        <v>6</v>
      </c>
      <c r="C6" s="5">
        <v>0.8</v>
      </c>
      <c r="D6" s="3" t="s">
        <v>7</v>
      </c>
    </row>
    <row r="7" spans="1:9" x14ac:dyDescent="0.3">
      <c r="A7" t="s">
        <v>8</v>
      </c>
      <c r="C7" s="2">
        <v>15.3</v>
      </c>
      <c r="D7" s="3" t="s">
        <v>9</v>
      </c>
    </row>
    <row r="9" spans="1:9" ht="31.2" x14ac:dyDescent="0.3">
      <c r="A9" s="6" t="s">
        <v>10</v>
      </c>
      <c r="B9" s="6" t="s">
        <v>49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50</v>
      </c>
    </row>
    <row r="10" spans="1:9" x14ac:dyDescent="0.3">
      <c r="A10" s="7">
        <v>0</v>
      </c>
      <c r="B10" s="16">
        <v>46107</v>
      </c>
      <c r="C10" s="5">
        <v>2.5</v>
      </c>
      <c r="D10" s="7" t="s">
        <v>17</v>
      </c>
      <c r="E10" s="8">
        <v>0</v>
      </c>
      <c r="F10" s="8">
        <f t="shared" ref="F10:F41" si="0">E10+IF(C10="",0,C10*$C$6/$C$7*1000)</f>
        <v>130.71895424836603</v>
      </c>
      <c r="G10" s="8">
        <f t="shared" ref="G10:G41" si="1">IF(C10="","",F10)</f>
        <v>130.71895424836603</v>
      </c>
      <c r="H10" s="8">
        <f t="shared" ref="H10:H41" si="2">IF(C10="","",E10)</f>
        <v>0</v>
      </c>
      <c r="I10" s="8">
        <f t="shared" ref="I10:I41" si="3">IF(C10="",E10*EXP(-$C$5*0.5),(E10+F10)/2)</f>
        <v>65.359477124183016</v>
      </c>
    </row>
    <row r="11" spans="1:9" x14ac:dyDescent="0.3">
      <c r="A11" s="7">
        <v>1</v>
      </c>
      <c r="B11" s="16">
        <v>46108</v>
      </c>
      <c r="C11" s="5"/>
      <c r="D11" s="7"/>
      <c r="E11" s="8">
        <f t="shared" ref="E11:E42" si="4">F10*EXP(-$C$5)</f>
        <v>113.79745925439532</v>
      </c>
      <c r="F11" s="8">
        <f t="shared" si="0"/>
        <v>113.79745925439532</v>
      </c>
      <c r="G11" s="8" t="str">
        <f t="shared" si="1"/>
        <v/>
      </c>
      <c r="H11" s="8" t="str">
        <f t="shared" si="2"/>
        <v/>
      </c>
      <c r="I11" s="8">
        <f t="shared" si="3"/>
        <v>106.17678383741641</v>
      </c>
    </row>
    <row r="12" spans="1:9" x14ac:dyDescent="0.3">
      <c r="A12" s="7">
        <v>2</v>
      </c>
      <c r="B12" s="16">
        <v>46109</v>
      </c>
      <c r="C12" s="5"/>
      <c r="D12" s="7"/>
      <c r="E12" s="8">
        <f t="shared" si="4"/>
        <v>99.066442255581578</v>
      </c>
      <c r="F12" s="8">
        <f t="shared" si="0"/>
        <v>99.066442255581578</v>
      </c>
      <c r="G12" s="8" t="str">
        <f t="shared" si="1"/>
        <v/>
      </c>
      <c r="H12" s="8" t="str">
        <f t="shared" si="2"/>
        <v/>
      </c>
      <c r="I12" s="8">
        <f t="shared" si="3"/>
        <v>92.432258978633669</v>
      </c>
    </row>
    <row r="13" spans="1:9" x14ac:dyDescent="0.3">
      <c r="A13" s="7">
        <v>3</v>
      </c>
      <c r="B13" s="16">
        <v>46110</v>
      </c>
      <c r="C13" s="5"/>
      <c r="D13" s="7"/>
      <c r="E13" s="8">
        <f t="shared" si="4"/>
        <v>86.242347109339491</v>
      </c>
      <c r="F13" s="8">
        <f t="shared" si="0"/>
        <v>86.242347109339491</v>
      </c>
      <c r="G13" s="8" t="str">
        <f t="shared" si="1"/>
        <v/>
      </c>
      <c r="H13" s="8" t="str">
        <f t="shared" si="2"/>
        <v/>
      </c>
      <c r="I13" s="8">
        <f t="shared" si="3"/>
        <v>80.466955120582753</v>
      </c>
    </row>
    <row r="14" spans="1:9" x14ac:dyDescent="0.3">
      <c r="A14" s="7">
        <v>4</v>
      </c>
      <c r="B14" s="16">
        <v>46111</v>
      </c>
      <c r="C14" s="5"/>
      <c r="D14" s="7"/>
      <c r="E14" s="8">
        <f t="shared" si="4"/>
        <v>75.078323856015359</v>
      </c>
      <c r="F14" s="8">
        <f t="shared" si="0"/>
        <v>75.078323856015359</v>
      </c>
      <c r="G14" s="8" t="str">
        <f t="shared" si="1"/>
        <v/>
      </c>
      <c r="H14" s="8" t="str">
        <f t="shared" si="2"/>
        <v/>
      </c>
      <c r="I14" s="8">
        <f t="shared" si="3"/>
        <v>70.050553106947262</v>
      </c>
    </row>
    <row r="15" spans="1:9" x14ac:dyDescent="0.3">
      <c r="A15" s="7">
        <v>5</v>
      </c>
      <c r="B15" s="16">
        <v>46112</v>
      </c>
      <c r="C15" s="5"/>
      <c r="D15" s="7"/>
      <c r="E15" s="8">
        <f t="shared" si="4"/>
        <v>65.359477124183002</v>
      </c>
      <c r="F15" s="8">
        <f t="shared" si="0"/>
        <v>65.359477124183002</v>
      </c>
      <c r="G15" s="8" t="str">
        <f t="shared" si="1"/>
        <v/>
      </c>
      <c r="H15" s="8" t="str">
        <f t="shared" si="2"/>
        <v/>
      </c>
      <c r="I15" s="8">
        <f t="shared" si="3"/>
        <v>60.982548466457999</v>
      </c>
    </row>
    <row r="16" spans="1:9" x14ac:dyDescent="0.3">
      <c r="A16" s="7">
        <v>6</v>
      </c>
      <c r="B16" s="16">
        <v>46113</v>
      </c>
      <c r="C16" s="5">
        <v>1.4</v>
      </c>
      <c r="D16" s="7"/>
      <c r="E16" s="8">
        <f t="shared" si="4"/>
        <v>56.898729627197653</v>
      </c>
      <c r="F16" s="8">
        <f t="shared" si="0"/>
        <v>130.1013440062826</v>
      </c>
      <c r="G16" s="8">
        <f t="shared" si="1"/>
        <v>130.1013440062826</v>
      </c>
      <c r="H16" s="8">
        <f t="shared" si="2"/>
        <v>56.898729627197653</v>
      </c>
      <c r="I16" s="8">
        <f t="shared" si="3"/>
        <v>93.500036816740135</v>
      </c>
    </row>
    <row r="17" spans="1:9" x14ac:dyDescent="0.3">
      <c r="A17" s="7">
        <v>7</v>
      </c>
      <c r="B17" s="16">
        <v>46114</v>
      </c>
      <c r="C17" s="5"/>
      <c r="D17" s="7"/>
      <c r="E17" s="8">
        <f t="shared" si="4"/>
        <v>113.25979831025214</v>
      </c>
      <c r="F17" s="8">
        <f t="shared" si="0"/>
        <v>113.25979831025214</v>
      </c>
      <c r="G17" s="8" t="str">
        <f t="shared" si="1"/>
        <v/>
      </c>
      <c r="H17" s="8" t="str">
        <f t="shared" si="2"/>
        <v/>
      </c>
      <c r="I17" s="8">
        <f t="shared" si="3"/>
        <v>105.67512843826999</v>
      </c>
    </row>
    <row r="18" spans="1:9" x14ac:dyDescent="0.3">
      <c r="A18" s="7">
        <v>8</v>
      </c>
      <c r="B18" s="16">
        <v>46115</v>
      </c>
      <c r="C18" s="5"/>
      <c r="D18" s="7"/>
      <c r="E18" s="8">
        <f t="shared" si="4"/>
        <v>98.598381217795406</v>
      </c>
      <c r="F18" s="8">
        <f t="shared" si="0"/>
        <v>98.598381217795406</v>
      </c>
      <c r="G18" s="8" t="str">
        <f t="shared" si="1"/>
        <v/>
      </c>
      <c r="H18" s="8" t="str">
        <f t="shared" si="2"/>
        <v/>
      </c>
      <c r="I18" s="8">
        <f t="shared" si="3"/>
        <v>91.995542588326217</v>
      </c>
    </row>
    <row r="19" spans="1:9" x14ac:dyDescent="0.3">
      <c r="A19" s="7">
        <v>9</v>
      </c>
      <c r="B19" s="16">
        <v>46116</v>
      </c>
      <c r="C19" s="5"/>
      <c r="D19" s="7"/>
      <c r="E19" s="8">
        <f t="shared" si="4"/>
        <v>85.834876309237771</v>
      </c>
      <c r="F19" s="8">
        <f t="shared" si="0"/>
        <v>85.834876309237771</v>
      </c>
      <c r="G19" s="8" t="str">
        <f t="shared" si="1"/>
        <v/>
      </c>
      <c r="H19" s="8" t="str">
        <f t="shared" si="2"/>
        <v/>
      </c>
      <c r="I19" s="8">
        <f t="shared" si="3"/>
        <v>80.086771420999952</v>
      </c>
    </row>
    <row r="20" spans="1:9" x14ac:dyDescent="0.3">
      <c r="A20" s="7">
        <v>10</v>
      </c>
      <c r="B20" s="16">
        <v>46117</v>
      </c>
      <c r="C20" s="5">
        <v>1.1000000000000001</v>
      </c>
      <c r="D20" s="7"/>
      <c r="E20" s="8">
        <f t="shared" si="4"/>
        <v>74.723599921460078</v>
      </c>
      <c r="F20" s="8">
        <f t="shared" si="0"/>
        <v>132.23993979074112</v>
      </c>
      <c r="G20" s="8">
        <f t="shared" si="1"/>
        <v>132.23993979074112</v>
      </c>
      <c r="H20" s="8">
        <f t="shared" si="2"/>
        <v>74.723599921460078</v>
      </c>
      <c r="I20" s="8">
        <f t="shared" si="3"/>
        <v>103.4817698561006</v>
      </c>
    </row>
    <row r="21" spans="1:9" x14ac:dyDescent="0.3">
      <c r="A21" s="7">
        <v>11</v>
      </c>
      <c r="B21" s="16">
        <v>46118</v>
      </c>
      <c r="C21" s="5"/>
      <c r="D21" s="7"/>
      <c r="E21" s="8">
        <f t="shared" si="4"/>
        <v>115.12155407507522</v>
      </c>
      <c r="F21" s="8">
        <f t="shared" si="0"/>
        <v>115.12155407507522</v>
      </c>
      <c r="G21" s="8" t="str">
        <f t="shared" si="1"/>
        <v/>
      </c>
      <c r="H21" s="8" t="str">
        <f t="shared" si="2"/>
        <v/>
      </c>
      <c r="I21" s="8">
        <f t="shared" si="3"/>
        <v>107.41220798903377</v>
      </c>
    </row>
    <row r="22" spans="1:9" x14ac:dyDescent="0.3">
      <c r="A22" s="7">
        <v>12</v>
      </c>
      <c r="B22" s="16">
        <v>46119</v>
      </c>
      <c r="C22" s="5"/>
      <c r="D22" s="7"/>
      <c r="E22" s="8">
        <f t="shared" si="4"/>
        <v>100.21913374758195</v>
      </c>
      <c r="F22" s="8">
        <f t="shared" si="0"/>
        <v>100.21913374758195</v>
      </c>
      <c r="G22" s="8" t="str">
        <f t="shared" si="1"/>
        <v/>
      </c>
      <c r="H22" s="8" t="str">
        <f t="shared" si="2"/>
        <v/>
      </c>
      <c r="I22" s="8">
        <f t="shared" si="3"/>
        <v>93.507758169733805</v>
      </c>
    </row>
    <row r="23" spans="1:9" x14ac:dyDescent="0.3">
      <c r="A23" s="7">
        <v>13</v>
      </c>
      <c r="B23" s="16">
        <v>46120</v>
      </c>
      <c r="C23" s="5"/>
      <c r="D23" s="7"/>
      <c r="E23" s="8">
        <f t="shared" si="4"/>
        <v>87.245823337007067</v>
      </c>
      <c r="F23" s="8">
        <f t="shared" si="0"/>
        <v>87.245823337007067</v>
      </c>
      <c r="G23" s="8" t="str">
        <f t="shared" si="1"/>
        <v/>
      </c>
      <c r="H23" s="8" t="str">
        <f t="shared" si="2"/>
        <v/>
      </c>
      <c r="I23" s="8">
        <f t="shared" si="3"/>
        <v>81.403231547219505</v>
      </c>
    </row>
    <row r="24" spans="1:9" x14ac:dyDescent="0.3">
      <c r="A24" s="7">
        <v>14</v>
      </c>
      <c r="B24" s="16">
        <v>46121</v>
      </c>
      <c r="C24" s="5">
        <v>1.1000000000000001</v>
      </c>
      <c r="D24" s="7"/>
      <c r="E24" s="8">
        <f t="shared" si="4"/>
        <v>75.951900651265632</v>
      </c>
      <c r="F24" s="8">
        <f t="shared" si="0"/>
        <v>133.46824052054669</v>
      </c>
      <c r="G24" s="8">
        <f t="shared" si="1"/>
        <v>133.46824052054669</v>
      </c>
      <c r="H24" s="8">
        <f t="shared" si="2"/>
        <v>75.951900651265632</v>
      </c>
      <c r="I24" s="8">
        <f t="shared" si="3"/>
        <v>104.71007058590615</v>
      </c>
    </row>
    <row r="25" spans="1:9" x14ac:dyDescent="0.3">
      <c r="A25" s="7">
        <v>15</v>
      </c>
      <c r="B25" s="16">
        <v>46122</v>
      </c>
      <c r="C25" s="5"/>
      <c r="D25" s="7"/>
      <c r="E25" s="8">
        <f t="shared" si="4"/>
        <v>116.1908519673045</v>
      </c>
      <c r="F25" s="8">
        <f t="shared" si="0"/>
        <v>116.1908519673045</v>
      </c>
      <c r="G25" s="8" t="str">
        <f t="shared" si="1"/>
        <v/>
      </c>
      <c r="H25" s="8" t="str">
        <f t="shared" si="2"/>
        <v/>
      </c>
      <c r="I25" s="8">
        <f t="shared" si="3"/>
        <v>108.40989820026446</v>
      </c>
    </row>
    <row r="26" spans="1:9" x14ac:dyDescent="0.3">
      <c r="A26" s="7">
        <v>16</v>
      </c>
      <c r="B26" s="16">
        <v>46123</v>
      </c>
      <c r="C26" s="5"/>
      <c r="D26" s="7"/>
      <c r="E26" s="8">
        <f t="shared" si="4"/>
        <v>101.1500116299935</v>
      </c>
      <c r="F26" s="8">
        <f t="shared" si="0"/>
        <v>101.1500116299935</v>
      </c>
      <c r="G26" s="8" t="str">
        <f t="shared" si="1"/>
        <v/>
      </c>
      <c r="H26" s="8" t="str">
        <f t="shared" si="2"/>
        <v/>
      </c>
      <c r="I26" s="8">
        <f t="shared" si="3"/>
        <v>94.376297945115695</v>
      </c>
    </row>
    <row r="27" spans="1:9" x14ac:dyDescent="0.3">
      <c r="A27" s="7">
        <v>17</v>
      </c>
      <c r="B27" s="16">
        <v>46124</v>
      </c>
      <c r="C27" s="5"/>
      <c r="D27" s="7"/>
      <c r="E27" s="8">
        <f t="shared" si="4"/>
        <v>88.056199601900346</v>
      </c>
      <c r="F27" s="8">
        <f t="shared" si="0"/>
        <v>88.056199601900346</v>
      </c>
      <c r="G27" s="8" t="str">
        <f t="shared" si="1"/>
        <v/>
      </c>
      <c r="H27" s="8" t="str">
        <f t="shared" si="2"/>
        <v/>
      </c>
      <c r="I27" s="8">
        <f t="shared" si="3"/>
        <v>82.159339337923313</v>
      </c>
    </row>
    <row r="28" spans="1:9" x14ac:dyDescent="0.3">
      <c r="A28" s="7">
        <v>18</v>
      </c>
      <c r="B28" s="16">
        <v>46125</v>
      </c>
      <c r="C28" s="5">
        <v>1.1000000000000001</v>
      </c>
      <c r="D28" s="7"/>
      <c r="E28" s="8">
        <f t="shared" si="4"/>
        <v>76.657374165150287</v>
      </c>
      <c r="F28" s="8">
        <f t="shared" si="0"/>
        <v>134.17371403443133</v>
      </c>
      <c r="G28" s="8">
        <f t="shared" si="1"/>
        <v>134.17371403443133</v>
      </c>
      <c r="H28" s="8">
        <f t="shared" si="2"/>
        <v>76.657374165150287</v>
      </c>
      <c r="I28" s="8">
        <f t="shared" si="3"/>
        <v>105.41554409979081</v>
      </c>
    </row>
    <row r="29" spans="1:9" x14ac:dyDescent="0.3">
      <c r="A29" s="7">
        <v>19</v>
      </c>
      <c r="B29" s="16">
        <v>46126</v>
      </c>
      <c r="C29" s="5"/>
      <c r="D29" s="7"/>
      <c r="E29" s="8">
        <f t="shared" si="4"/>
        <v>116.80500233220727</v>
      </c>
      <c r="F29" s="8">
        <f t="shared" si="0"/>
        <v>116.80500233220727</v>
      </c>
      <c r="G29" s="8" t="str">
        <f t="shared" si="1"/>
        <v/>
      </c>
      <c r="H29" s="8" t="str">
        <f t="shared" si="2"/>
        <v/>
      </c>
      <c r="I29" s="8">
        <f t="shared" si="3"/>
        <v>108.98292075248311</v>
      </c>
    </row>
    <row r="30" spans="1:9" x14ac:dyDescent="0.3">
      <c r="A30" s="7">
        <v>20</v>
      </c>
      <c r="B30" s="16">
        <v>46127</v>
      </c>
      <c r="C30" s="5"/>
      <c r="D30" s="7"/>
      <c r="E30" s="8">
        <f t="shared" si="4"/>
        <v>101.68466057610813</v>
      </c>
      <c r="F30" s="8">
        <f t="shared" si="0"/>
        <v>101.68466057610813</v>
      </c>
      <c r="G30" s="8" t="str">
        <f t="shared" si="1"/>
        <v/>
      </c>
      <c r="H30" s="8" t="str">
        <f t="shared" si="2"/>
        <v/>
      </c>
      <c r="I30" s="8">
        <f t="shared" si="3"/>
        <v>94.875143050731026</v>
      </c>
    </row>
    <row r="31" spans="1:9" x14ac:dyDescent="0.3">
      <c r="A31" s="7">
        <v>21</v>
      </c>
      <c r="B31" s="16">
        <v>46128</v>
      </c>
      <c r="C31" s="5"/>
      <c r="D31" s="7"/>
      <c r="E31" s="8">
        <f t="shared" si="4"/>
        <v>88.521638543106121</v>
      </c>
      <c r="F31" s="8">
        <f t="shared" si="0"/>
        <v>88.521638543106121</v>
      </c>
      <c r="G31" s="8" t="str">
        <f t="shared" si="1"/>
        <v/>
      </c>
      <c r="H31" s="8" t="str">
        <f t="shared" si="2"/>
        <v/>
      </c>
      <c r="I31" s="8">
        <f t="shared" si="3"/>
        <v>82.593609225614259</v>
      </c>
    </row>
    <row r="32" spans="1:9" x14ac:dyDescent="0.3">
      <c r="A32" s="7">
        <v>22</v>
      </c>
      <c r="B32" s="16">
        <v>46129</v>
      </c>
      <c r="C32" s="5"/>
      <c r="D32" s="7"/>
      <c r="E32" s="8">
        <f t="shared" si="4"/>
        <v>77.062562297596926</v>
      </c>
      <c r="F32" s="8">
        <f t="shared" si="0"/>
        <v>77.062562297596926</v>
      </c>
      <c r="G32" s="8" t="str">
        <f t="shared" si="1"/>
        <v/>
      </c>
      <c r="H32" s="8" t="str">
        <f t="shared" si="2"/>
        <v/>
      </c>
      <c r="I32" s="8">
        <f t="shared" si="3"/>
        <v>71.901913036018442</v>
      </c>
    </row>
    <row r="33" spans="1:9" x14ac:dyDescent="0.3">
      <c r="A33" s="7">
        <v>23</v>
      </c>
      <c r="B33" s="16">
        <v>46130</v>
      </c>
      <c r="C33" s="5"/>
      <c r="D33" s="7"/>
      <c r="E33" s="8">
        <f t="shared" si="4"/>
        <v>67.086857017215664</v>
      </c>
      <c r="F33" s="8">
        <f t="shared" si="0"/>
        <v>67.086857017215664</v>
      </c>
      <c r="G33" s="8" t="str">
        <f t="shared" si="1"/>
        <v/>
      </c>
      <c r="H33" s="8" t="str">
        <f t="shared" si="2"/>
        <v/>
      </c>
      <c r="I33" s="8">
        <f t="shared" si="3"/>
        <v>62.594250895574788</v>
      </c>
    </row>
    <row r="34" spans="1:9" x14ac:dyDescent="0.3">
      <c r="A34" s="7">
        <v>24</v>
      </c>
      <c r="B34" s="16">
        <v>46131</v>
      </c>
      <c r="C34" s="5"/>
      <c r="D34" s="7"/>
      <c r="E34" s="8">
        <f t="shared" si="4"/>
        <v>58.402501166103633</v>
      </c>
      <c r="F34" s="8">
        <f t="shared" si="0"/>
        <v>58.402501166103633</v>
      </c>
      <c r="G34" s="8" t="str">
        <f t="shared" si="1"/>
        <v/>
      </c>
      <c r="H34" s="8" t="str">
        <f t="shared" si="2"/>
        <v/>
      </c>
      <c r="I34" s="8">
        <f t="shared" si="3"/>
        <v>54.491460376241555</v>
      </c>
    </row>
    <row r="35" spans="1:9" x14ac:dyDescent="0.3">
      <c r="A35" s="7">
        <v>25</v>
      </c>
      <c r="B35" s="16">
        <v>46132</v>
      </c>
      <c r="C35" s="5"/>
      <c r="D35" s="7"/>
      <c r="E35" s="8">
        <f t="shared" si="4"/>
        <v>50.842330288054065</v>
      </c>
      <c r="F35" s="8">
        <f t="shared" si="0"/>
        <v>50.842330288054065</v>
      </c>
      <c r="G35" s="8" t="str">
        <f t="shared" si="1"/>
        <v/>
      </c>
      <c r="H35" s="8" t="str">
        <f t="shared" si="2"/>
        <v/>
      </c>
      <c r="I35" s="8">
        <f t="shared" si="3"/>
        <v>47.437571525365513</v>
      </c>
    </row>
    <row r="36" spans="1:9" x14ac:dyDescent="0.3">
      <c r="A36" s="7">
        <v>26</v>
      </c>
      <c r="B36" s="16">
        <v>46133</v>
      </c>
      <c r="C36" s="5"/>
      <c r="D36" s="7"/>
      <c r="E36" s="8">
        <f t="shared" si="4"/>
        <v>44.260819271553061</v>
      </c>
      <c r="F36" s="8">
        <f t="shared" si="0"/>
        <v>44.260819271553061</v>
      </c>
      <c r="G36" s="8" t="str">
        <f t="shared" si="1"/>
        <v/>
      </c>
      <c r="H36" s="8" t="str">
        <f t="shared" si="2"/>
        <v/>
      </c>
      <c r="I36" s="8">
        <f t="shared" si="3"/>
        <v>41.296804612807129</v>
      </c>
    </row>
    <row r="37" spans="1:9" x14ac:dyDescent="0.3">
      <c r="A37" s="7">
        <v>27</v>
      </c>
      <c r="B37" s="16">
        <v>46134</v>
      </c>
      <c r="C37" s="5"/>
      <c r="D37" s="7"/>
      <c r="E37" s="8">
        <f t="shared" si="4"/>
        <v>38.531281148798463</v>
      </c>
      <c r="F37" s="8">
        <f t="shared" si="0"/>
        <v>38.531281148798463</v>
      </c>
      <c r="G37" s="8" t="str">
        <f t="shared" si="1"/>
        <v/>
      </c>
      <c r="H37" s="8" t="str">
        <f t="shared" si="2"/>
        <v/>
      </c>
      <c r="I37" s="8">
        <f t="shared" si="3"/>
        <v>35.950956518009221</v>
      </c>
    </row>
    <row r="38" spans="1:9" x14ac:dyDescent="0.3">
      <c r="A38" s="7">
        <v>28</v>
      </c>
      <c r="B38" s="16">
        <v>46135</v>
      </c>
      <c r="C38" s="5"/>
      <c r="D38" s="7"/>
      <c r="E38" s="8">
        <f t="shared" si="4"/>
        <v>33.543428508607832</v>
      </c>
      <c r="F38" s="8">
        <f t="shared" si="0"/>
        <v>33.543428508607832</v>
      </c>
      <c r="G38" s="8" t="str">
        <f t="shared" si="1"/>
        <v/>
      </c>
      <c r="H38" s="8" t="str">
        <f t="shared" si="2"/>
        <v/>
      </c>
      <c r="I38" s="8">
        <f t="shared" si="3"/>
        <v>31.297125447787394</v>
      </c>
    </row>
    <row r="39" spans="1:9" x14ac:dyDescent="0.3">
      <c r="A39" s="7">
        <v>29</v>
      </c>
      <c r="B39" s="16">
        <v>46136</v>
      </c>
      <c r="C39" s="5"/>
      <c r="D39" s="7"/>
      <c r="E39" s="8">
        <f t="shared" si="4"/>
        <v>29.201250583051817</v>
      </c>
      <c r="F39" s="8">
        <f t="shared" si="0"/>
        <v>29.201250583051817</v>
      </c>
      <c r="G39" s="8" t="str">
        <f t="shared" si="1"/>
        <v/>
      </c>
      <c r="H39" s="8" t="str">
        <f t="shared" si="2"/>
        <v/>
      </c>
      <c r="I39" s="8">
        <f t="shared" si="3"/>
        <v>27.245730188120778</v>
      </c>
    </row>
    <row r="40" spans="1:9" x14ac:dyDescent="0.3">
      <c r="A40" s="7">
        <v>30</v>
      </c>
      <c r="B40" s="16">
        <v>46137</v>
      </c>
      <c r="C40" s="5"/>
      <c r="D40" s="7"/>
      <c r="E40" s="8">
        <f t="shared" si="4"/>
        <v>25.421165144027032</v>
      </c>
      <c r="F40" s="8">
        <f t="shared" si="0"/>
        <v>25.421165144027032</v>
      </c>
      <c r="G40" s="8" t="str">
        <f t="shared" si="1"/>
        <v/>
      </c>
      <c r="H40" s="8" t="str">
        <f t="shared" si="2"/>
        <v/>
      </c>
      <c r="I40" s="8">
        <f t="shared" si="3"/>
        <v>23.718785762682757</v>
      </c>
    </row>
    <row r="41" spans="1:9" x14ac:dyDescent="0.3">
      <c r="A41" s="7">
        <v>31</v>
      </c>
      <c r="B41" s="16">
        <v>46138</v>
      </c>
      <c r="C41" s="5"/>
      <c r="D41" s="7"/>
      <c r="E41" s="8">
        <f t="shared" si="4"/>
        <v>22.13040963577653</v>
      </c>
      <c r="F41" s="8">
        <f t="shared" si="0"/>
        <v>22.13040963577653</v>
      </c>
      <c r="G41" s="8" t="str">
        <f t="shared" si="1"/>
        <v/>
      </c>
      <c r="H41" s="8" t="str">
        <f t="shared" si="2"/>
        <v/>
      </c>
      <c r="I41" s="8">
        <f t="shared" si="3"/>
        <v>20.648402306403565</v>
      </c>
    </row>
    <row r="42" spans="1:9" x14ac:dyDescent="0.3">
      <c r="A42" s="7">
        <v>32</v>
      </c>
      <c r="B42" s="16">
        <v>46139</v>
      </c>
      <c r="C42" s="5"/>
      <c r="D42" s="7"/>
      <c r="E42" s="8">
        <f t="shared" si="4"/>
        <v>19.265640574399232</v>
      </c>
      <c r="F42" s="8">
        <f t="shared" ref="F42:F73" si="5">E42+IF(C42="",0,C42*$C$6/$C$7*1000)</f>
        <v>19.265640574399232</v>
      </c>
      <c r="G42" s="8" t="str">
        <f t="shared" ref="G42:G73" si="6">IF(C42="","",F42)</f>
        <v/>
      </c>
      <c r="H42" s="8" t="str">
        <f t="shared" ref="H42:H73" si="7">IF(C42="","",E42)</f>
        <v/>
      </c>
      <c r="I42" s="8">
        <f t="shared" ref="I42:I73" si="8">IF(C42="",E42*EXP(-$C$5*0.5),(E42+F42)/2)</f>
        <v>17.97547825900461</v>
      </c>
    </row>
    <row r="43" spans="1:9" x14ac:dyDescent="0.3">
      <c r="A43" s="7">
        <v>33</v>
      </c>
      <c r="B43" s="16">
        <v>46140</v>
      </c>
      <c r="C43" s="5"/>
      <c r="D43" s="7"/>
      <c r="E43" s="8">
        <f t="shared" ref="E43:E74" si="9">F42*EXP(-$C$5)</f>
        <v>16.771714254303916</v>
      </c>
      <c r="F43" s="8">
        <f t="shared" si="5"/>
        <v>16.771714254303916</v>
      </c>
      <c r="G43" s="8" t="str">
        <f t="shared" si="6"/>
        <v/>
      </c>
      <c r="H43" s="8" t="str">
        <f t="shared" si="7"/>
        <v/>
      </c>
      <c r="I43" s="8">
        <f t="shared" si="8"/>
        <v>15.648562723893697</v>
      </c>
    </row>
    <row r="44" spans="1:9" x14ac:dyDescent="0.3">
      <c r="A44" s="7">
        <v>34</v>
      </c>
      <c r="B44" s="16">
        <v>46141</v>
      </c>
      <c r="C44" s="5"/>
      <c r="D44" s="7"/>
      <c r="E44" s="8">
        <f t="shared" si="9"/>
        <v>14.600625291525908</v>
      </c>
      <c r="F44" s="8">
        <f t="shared" si="5"/>
        <v>14.600625291525908</v>
      </c>
      <c r="G44" s="8" t="str">
        <f t="shared" si="6"/>
        <v/>
      </c>
      <c r="H44" s="8" t="str">
        <f t="shared" si="7"/>
        <v/>
      </c>
      <c r="I44" s="8">
        <f t="shared" si="8"/>
        <v>13.622865094060389</v>
      </c>
    </row>
    <row r="45" spans="1:9" x14ac:dyDescent="0.3">
      <c r="A45" s="7">
        <v>35</v>
      </c>
      <c r="B45" s="16">
        <v>46142</v>
      </c>
      <c r="C45" s="5"/>
      <c r="D45" s="7"/>
      <c r="E45" s="8">
        <f t="shared" si="9"/>
        <v>12.710582572013516</v>
      </c>
      <c r="F45" s="8">
        <f t="shared" si="5"/>
        <v>12.710582572013516</v>
      </c>
      <c r="G45" s="8" t="str">
        <f t="shared" si="6"/>
        <v/>
      </c>
      <c r="H45" s="8" t="str">
        <f t="shared" si="7"/>
        <v/>
      </c>
      <c r="I45" s="8">
        <f t="shared" si="8"/>
        <v>11.859392881341378</v>
      </c>
    </row>
    <row r="46" spans="1:9" x14ac:dyDescent="0.3">
      <c r="A46" s="7">
        <v>36</v>
      </c>
      <c r="B46" s="16">
        <v>46143</v>
      </c>
      <c r="C46" s="5"/>
      <c r="D46" s="7"/>
      <c r="E46" s="8">
        <f t="shared" si="9"/>
        <v>11.065204817888265</v>
      </c>
      <c r="F46" s="8">
        <f t="shared" si="5"/>
        <v>11.065204817888265</v>
      </c>
      <c r="G46" s="8" t="str">
        <f t="shared" si="6"/>
        <v/>
      </c>
      <c r="H46" s="8" t="str">
        <f t="shared" si="7"/>
        <v/>
      </c>
      <c r="I46" s="8">
        <f t="shared" si="8"/>
        <v>10.324201153201782</v>
      </c>
    </row>
    <row r="47" spans="1:9" x14ac:dyDescent="0.3">
      <c r="A47" s="7">
        <v>37</v>
      </c>
      <c r="B47" s="16">
        <v>46144</v>
      </c>
      <c r="C47" s="5"/>
      <c r="D47" s="7"/>
      <c r="E47" s="8">
        <f t="shared" si="9"/>
        <v>9.6328202871996158</v>
      </c>
      <c r="F47" s="8">
        <f t="shared" si="5"/>
        <v>9.6328202871996158</v>
      </c>
      <c r="G47" s="8" t="str">
        <f t="shared" si="6"/>
        <v/>
      </c>
      <c r="H47" s="8" t="str">
        <f t="shared" si="7"/>
        <v/>
      </c>
      <c r="I47" s="8">
        <f t="shared" si="8"/>
        <v>8.9877391295023052</v>
      </c>
    </row>
    <row r="48" spans="1:9" x14ac:dyDescent="0.3">
      <c r="A48" s="7">
        <v>38</v>
      </c>
      <c r="B48" s="16">
        <v>46145</v>
      </c>
      <c r="C48" s="5"/>
      <c r="D48" s="7"/>
      <c r="E48" s="8">
        <f t="shared" si="9"/>
        <v>8.385857127151958</v>
      </c>
      <c r="F48" s="8">
        <f t="shared" si="5"/>
        <v>8.385857127151958</v>
      </c>
      <c r="G48" s="8" t="str">
        <f t="shared" si="6"/>
        <v/>
      </c>
      <c r="H48" s="8" t="str">
        <f t="shared" si="7"/>
        <v/>
      </c>
      <c r="I48" s="8">
        <f t="shared" si="8"/>
        <v>7.8242813619468485</v>
      </c>
    </row>
    <row r="49" spans="1:9" x14ac:dyDescent="0.3">
      <c r="A49" s="7">
        <v>39</v>
      </c>
      <c r="B49" s="16">
        <v>46146</v>
      </c>
      <c r="C49" s="5"/>
      <c r="D49" s="7"/>
      <c r="E49" s="8">
        <f t="shared" si="9"/>
        <v>7.3003126457629541</v>
      </c>
      <c r="F49" s="8">
        <f t="shared" si="5"/>
        <v>7.3003126457629541</v>
      </c>
      <c r="G49" s="8" t="str">
        <f t="shared" si="6"/>
        <v/>
      </c>
      <c r="H49" s="8" t="str">
        <f t="shared" si="7"/>
        <v/>
      </c>
      <c r="I49" s="8">
        <f t="shared" si="8"/>
        <v>6.8114325470301944</v>
      </c>
    </row>
    <row r="50" spans="1:9" x14ac:dyDescent="0.3">
      <c r="A50" s="7">
        <v>40</v>
      </c>
      <c r="B50" s="16">
        <v>46147</v>
      </c>
      <c r="C50" s="5"/>
      <c r="D50" s="7"/>
      <c r="E50" s="8">
        <f t="shared" si="9"/>
        <v>6.3552912860067581</v>
      </c>
      <c r="F50" s="8">
        <f t="shared" si="5"/>
        <v>6.3552912860067581</v>
      </c>
      <c r="G50" s="8" t="str">
        <f t="shared" si="6"/>
        <v/>
      </c>
      <c r="H50" s="8" t="str">
        <f t="shared" si="7"/>
        <v/>
      </c>
      <c r="I50" s="8">
        <f t="shared" si="8"/>
        <v>5.9296964406706891</v>
      </c>
    </row>
    <row r="51" spans="1:9" x14ac:dyDescent="0.3">
      <c r="A51" s="7">
        <v>41</v>
      </c>
      <c r="B51" s="16">
        <v>46148</v>
      </c>
      <c r="C51" s="5"/>
      <c r="D51" s="7"/>
      <c r="E51" s="8">
        <f t="shared" si="9"/>
        <v>5.5326024089441326</v>
      </c>
      <c r="F51" s="8">
        <f t="shared" si="5"/>
        <v>5.5326024089441326</v>
      </c>
      <c r="G51" s="8" t="str">
        <f t="shared" si="6"/>
        <v/>
      </c>
      <c r="H51" s="8" t="str">
        <f t="shared" si="7"/>
        <v/>
      </c>
      <c r="I51" s="8">
        <f t="shared" si="8"/>
        <v>5.1621005766008912</v>
      </c>
    </row>
    <row r="52" spans="1:9" x14ac:dyDescent="0.3">
      <c r="A52" s="7">
        <v>42</v>
      </c>
      <c r="B52" s="16">
        <v>46149</v>
      </c>
      <c r="C52" s="5"/>
      <c r="D52" s="7"/>
      <c r="E52" s="8">
        <f t="shared" si="9"/>
        <v>4.8164101435998079</v>
      </c>
      <c r="F52" s="8">
        <f t="shared" si="5"/>
        <v>4.8164101435998079</v>
      </c>
      <c r="G52" s="8" t="str">
        <f t="shared" si="6"/>
        <v/>
      </c>
      <c r="H52" s="8" t="str">
        <f t="shared" si="7"/>
        <v/>
      </c>
      <c r="I52" s="8">
        <f t="shared" si="8"/>
        <v>4.4938695647511526</v>
      </c>
    </row>
    <row r="53" spans="1:9" x14ac:dyDescent="0.3">
      <c r="A53" s="7">
        <v>43</v>
      </c>
      <c r="B53" s="16">
        <v>46150</v>
      </c>
      <c r="C53" s="5"/>
      <c r="D53" s="7"/>
      <c r="E53" s="8">
        <f t="shared" si="9"/>
        <v>4.192928563575979</v>
      </c>
      <c r="F53" s="8">
        <f t="shared" si="5"/>
        <v>4.192928563575979</v>
      </c>
      <c r="G53" s="8" t="str">
        <f t="shared" si="6"/>
        <v/>
      </c>
      <c r="H53" s="8" t="str">
        <f t="shared" si="7"/>
        <v/>
      </c>
      <c r="I53" s="8">
        <f t="shared" si="8"/>
        <v>3.9121406809734243</v>
      </c>
    </row>
    <row r="54" spans="1:9" x14ac:dyDescent="0.3">
      <c r="A54" s="7">
        <v>44</v>
      </c>
      <c r="B54" s="16">
        <v>46151</v>
      </c>
      <c r="C54" s="5"/>
      <c r="D54" s="7"/>
      <c r="E54" s="8">
        <f t="shared" si="9"/>
        <v>3.6501563228814771</v>
      </c>
      <c r="F54" s="8">
        <f t="shared" si="5"/>
        <v>3.6501563228814771</v>
      </c>
      <c r="G54" s="8" t="str">
        <f t="shared" si="6"/>
        <v/>
      </c>
      <c r="H54" s="8" t="str">
        <f t="shared" si="7"/>
        <v/>
      </c>
      <c r="I54" s="8">
        <f t="shared" si="8"/>
        <v>3.4057162735150972</v>
      </c>
    </row>
    <row r="55" spans="1:9" x14ac:dyDescent="0.3">
      <c r="A55" s="7">
        <v>45</v>
      </c>
      <c r="B55" s="16">
        <v>46152</v>
      </c>
      <c r="C55" s="5"/>
      <c r="D55" s="7"/>
      <c r="E55" s="8">
        <f t="shared" si="9"/>
        <v>3.177645643003379</v>
      </c>
      <c r="F55" s="8">
        <f t="shared" si="5"/>
        <v>3.177645643003379</v>
      </c>
      <c r="G55" s="8" t="str">
        <f t="shared" si="6"/>
        <v/>
      </c>
      <c r="H55" s="8" t="str">
        <f t="shared" si="7"/>
        <v/>
      </c>
      <c r="I55" s="8">
        <f t="shared" si="8"/>
        <v>2.9648482203353446</v>
      </c>
    </row>
    <row r="56" spans="1:9" x14ac:dyDescent="0.3">
      <c r="A56" s="7">
        <v>46</v>
      </c>
      <c r="B56" s="16">
        <v>46153</v>
      </c>
      <c r="C56" s="5"/>
      <c r="D56" s="7"/>
      <c r="E56" s="8">
        <f t="shared" si="9"/>
        <v>2.7663012044720663</v>
      </c>
      <c r="F56" s="8">
        <f t="shared" si="5"/>
        <v>2.7663012044720663</v>
      </c>
      <c r="G56" s="8" t="str">
        <f t="shared" si="6"/>
        <v/>
      </c>
      <c r="H56" s="8" t="str">
        <f t="shared" si="7"/>
        <v/>
      </c>
      <c r="I56" s="8">
        <f t="shared" si="8"/>
        <v>2.5810502883004456</v>
      </c>
    </row>
    <row r="57" spans="1:9" x14ac:dyDescent="0.3">
      <c r="A57" s="7">
        <v>47</v>
      </c>
      <c r="B57" s="16">
        <v>46154</v>
      </c>
      <c r="C57" s="5"/>
      <c r="D57" s="7"/>
      <c r="E57" s="8">
        <f t="shared" si="9"/>
        <v>2.408205071799904</v>
      </c>
      <c r="F57" s="8">
        <f t="shared" si="5"/>
        <v>2.408205071799904</v>
      </c>
      <c r="G57" s="8" t="str">
        <f t="shared" si="6"/>
        <v/>
      </c>
      <c r="H57" s="8" t="str">
        <f t="shared" si="7"/>
        <v/>
      </c>
      <c r="I57" s="8">
        <f t="shared" si="8"/>
        <v>2.2469347823755763</v>
      </c>
    </row>
    <row r="58" spans="1:9" x14ac:dyDescent="0.3">
      <c r="A58" s="7">
        <v>48</v>
      </c>
      <c r="B58" s="16">
        <v>46155</v>
      </c>
      <c r="C58" s="5"/>
      <c r="D58" s="7"/>
      <c r="E58" s="8">
        <f t="shared" si="9"/>
        <v>2.0964642817879895</v>
      </c>
      <c r="F58" s="8">
        <f t="shared" si="5"/>
        <v>2.0964642817879895</v>
      </c>
      <c r="G58" s="8" t="str">
        <f t="shared" si="6"/>
        <v/>
      </c>
      <c r="H58" s="8" t="str">
        <f t="shared" si="7"/>
        <v/>
      </c>
      <c r="I58" s="8">
        <f t="shared" si="8"/>
        <v>1.9560703404867121</v>
      </c>
    </row>
    <row r="59" spans="1:9" x14ac:dyDescent="0.3">
      <c r="A59" s="7">
        <v>49</v>
      </c>
      <c r="B59" s="16">
        <v>46156</v>
      </c>
      <c r="C59" s="5"/>
      <c r="D59" s="7"/>
      <c r="E59" s="8">
        <f t="shared" si="9"/>
        <v>1.8250781614407385</v>
      </c>
      <c r="F59" s="8">
        <f t="shared" si="5"/>
        <v>1.8250781614407385</v>
      </c>
      <c r="G59" s="8" t="str">
        <f t="shared" si="6"/>
        <v/>
      </c>
      <c r="H59" s="8" t="str">
        <f t="shared" si="7"/>
        <v/>
      </c>
      <c r="I59" s="8">
        <f t="shared" si="8"/>
        <v>1.7028581367575486</v>
      </c>
    </row>
    <row r="60" spans="1:9" x14ac:dyDescent="0.3">
      <c r="A60" s="7">
        <v>50</v>
      </c>
      <c r="B60" s="16">
        <v>46157</v>
      </c>
      <c r="C60" s="5"/>
      <c r="D60" s="7"/>
      <c r="E60" s="8">
        <f t="shared" si="9"/>
        <v>1.5888228215016895</v>
      </c>
      <c r="F60" s="8">
        <f t="shared" si="5"/>
        <v>1.5888228215016895</v>
      </c>
      <c r="G60" s="8" t="str">
        <f t="shared" si="6"/>
        <v/>
      </c>
      <c r="H60" s="8" t="str">
        <f t="shared" si="7"/>
        <v/>
      </c>
      <c r="I60" s="8">
        <f t="shared" si="8"/>
        <v>1.4824241101676723</v>
      </c>
    </row>
    <row r="61" spans="1:9" x14ac:dyDescent="0.3">
      <c r="A61" s="7">
        <v>51</v>
      </c>
      <c r="B61" s="16">
        <v>46158</v>
      </c>
      <c r="C61" s="5"/>
      <c r="D61" s="7"/>
      <c r="E61" s="8">
        <f t="shared" si="9"/>
        <v>1.3831506022360331</v>
      </c>
      <c r="F61" s="8">
        <f t="shared" si="5"/>
        <v>1.3831506022360331</v>
      </c>
      <c r="G61" s="8" t="str">
        <f t="shared" si="6"/>
        <v/>
      </c>
      <c r="H61" s="8" t="str">
        <f t="shared" si="7"/>
        <v/>
      </c>
      <c r="I61" s="8">
        <f t="shared" si="8"/>
        <v>1.2905251441502228</v>
      </c>
    </row>
    <row r="62" spans="1:9" x14ac:dyDescent="0.3">
      <c r="A62" s="7">
        <v>52</v>
      </c>
      <c r="B62" s="16">
        <v>46159</v>
      </c>
      <c r="C62" s="5"/>
      <c r="D62" s="7"/>
      <c r="E62" s="8">
        <f t="shared" si="9"/>
        <v>1.204102535899952</v>
      </c>
      <c r="F62" s="8">
        <f t="shared" si="5"/>
        <v>1.204102535899952</v>
      </c>
      <c r="G62" s="8" t="str">
        <f t="shared" si="6"/>
        <v/>
      </c>
      <c r="H62" s="8" t="str">
        <f t="shared" si="7"/>
        <v/>
      </c>
      <c r="I62" s="8">
        <f t="shared" si="8"/>
        <v>1.1234673911877882</v>
      </c>
    </row>
    <row r="63" spans="1:9" x14ac:dyDescent="0.3">
      <c r="A63" s="7">
        <v>53</v>
      </c>
      <c r="B63" s="16">
        <v>46160</v>
      </c>
      <c r="C63" s="5"/>
      <c r="D63" s="7"/>
      <c r="E63" s="8">
        <f t="shared" si="9"/>
        <v>1.0482321408939947</v>
      </c>
      <c r="F63" s="8">
        <f t="shared" si="5"/>
        <v>1.0482321408939947</v>
      </c>
      <c r="G63" s="8" t="str">
        <f t="shared" si="6"/>
        <v/>
      </c>
      <c r="H63" s="8" t="str">
        <f t="shared" si="7"/>
        <v/>
      </c>
      <c r="I63" s="8">
        <f t="shared" si="8"/>
        <v>0.97803517024335607</v>
      </c>
    </row>
    <row r="64" spans="1:9" x14ac:dyDescent="0.3">
      <c r="A64" s="7">
        <v>54</v>
      </c>
      <c r="B64" s="16">
        <v>46161</v>
      </c>
      <c r="C64" s="5"/>
      <c r="D64" s="7"/>
      <c r="E64" s="8">
        <f t="shared" si="9"/>
        <v>0.91253908072036927</v>
      </c>
      <c r="F64" s="8">
        <f t="shared" si="5"/>
        <v>0.91253908072036927</v>
      </c>
      <c r="G64" s="8" t="str">
        <f t="shared" si="6"/>
        <v/>
      </c>
      <c r="H64" s="8" t="str">
        <f t="shared" si="7"/>
        <v/>
      </c>
      <c r="I64" s="8">
        <f t="shared" si="8"/>
        <v>0.8514290683787743</v>
      </c>
    </row>
    <row r="65" spans="1:9" x14ac:dyDescent="0.3">
      <c r="A65" s="7">
        <v>55</v>
      </c>
      <c r="B65" s="16">
        <v>46162</v>
      </c>
      <c r="C65" s="5"/>
      <c r="D65" s="7"/>
      <c r="E65" s="8">
        <f t="shared" si="9"/>
        <v>0.79441141075084476</v>
      </c>
      <c r="F65" s="8">
        <f t="shared" si="5"/>
        <v>0.79441141075084476</v>
      </c>
      <c r="G65" s="8" t="str">
        <f t="shared" si="6"/>
        <v/>
      </c>
      <c r="H65" s="8" t="str">
        <f t="shared" si="7"/>
        <v/>
      </c>
      <c r="I65" s="8">
        <f t="shared" si="8"/>
        <v>0.74121205508383614</v>
      </c>
    </row>
    <row r="66" spans="1:9" x14ac:dyDescent="0.3">
      <c r="A66" s="7">
        <v>56</v>
      </c>
      <c r="B66" s="16">
        <v>46163</v>
      </c>
      <c r="C66" s="5"/>
      <c r="D66" s="7"/>
      <c r="E66" s="8">
        <f t="shared" si="9"/>
        <v>0.69157530111801657</v>
      </c>
      <c r="F66" s="8">
        <f t="shared" si="5"/>
        <v>0.69157530111801657</v>
      </c>
      <c r="G66" s="8" t="str">
        <f t="shared" si="6"/>
        <v/>
      </c>
      <c r="H66" s="8" t="str">
        <f t="shared" si="7"/>
        <v/>
      </c>
      <c r="I66" s="8">
        <f t="shared" si="8"/>
        <v>0.6452625720751114</v>
      </c>
    </row>
    <row r="67" spans="1:9" x14ac:dyDescent="0.3">
      <c r="A67" s="7">
        <v>57</v>
      </c>
      <c r="B67" s="16">
        <v>46164</v>
      </c>
      <c r="C67" s="5"/>
      <c r="D67" s="7"/>
      <c r="E67" s="8">
        <f t="shared" si="9"/>
        <v>0.60205126794997599</v>
      </c>
      <c r="F67" s="8">
        <f t="shared" si="5"/>
        <v>0.60205126794997599</v>
      </c>
      <c r="G67" s="8" t="str">
        <f t="shared" si="6"/>
        <v/>
      </c>
      <c r="H67" s="8" t="str">
        <f t="shared" si="7"/>
        <v/>
      </c>
      <c r="I67" s="8">
        <f t="shared" si="8"/>
        <v>0.56173369559389408</v>
      </c>
    </row>
    <row r="68" spans="1:9" x14ac:dyDescent="0.3">
      <c r="A68" s="7">
        <v>58</v>
      </c>
      <c r="B68" s="16">
        <v>46165</v>
      </c>
      <c r="C68" s="5"/>
      <c r="D68" s="7"/>
      <c r="E68" s="8">
        <f t="shared" si="9"/>
        <v>0.52411607044699737</v>
      </c>
      <c r="F68" s="8">
        <f t="shared" si="5"/>
        <v>0.52411607044699737</v>
      </c>
      <c r="G68" s="8" t="str">
        <f t="shared" si="6"/>
        <v/>
      </c>
      <c r="H68" s="8" t="str">
        <f t="shared" si="7"/>
        <v/>
      </c>
      <c r="I68" s="8">
        <f t="shared" si="8"/>
        <v>0.48901758512167803</v>
      </c>
    </row>
    <row r="69" spans="1:9" x14ac:dyDescent="0.3">
      <c r="A69" s="7">
        <v>59</v>
      </c>
      <c r="B69" s="16">
        <v>46166</v>
      </c>
      <c r="C69" s="5"/>
      <c r="D69" s="7"/>
      <c r="E69" s="8">
        <f t="shared" si="9"/>
        <v>0.45626954036018463</v>
      </c>
      <c r="F69" s="8">
        <f t="shared" si="5"/>
        <v>0.45626954036018463</v>
      </c>
      <c r="G69" s="8" t="str">
        <f t="shared" si="6"/>
        <v/>
      </c>
      <c r="H69" s="8" t="str">
        <f t="shared" si="7"/>
        <v/>
      </c>
      <c r="I69" s="8">
        <f t="shared" si="8"/>
        <v>0.42571453418938715</v>
      </c>
    </row>
    <row r="70" spans="1:9" x14ac:dyDescent="0.3">
      <c r="A70" s="7">
        <v>60</v>
      </c>
      <c r="B70" s="16">
        <v>46167</v>
      </c>
      <c r="C70" s="5"/>
      <c r="D70" s="7"/>
      <c r="E70" s="8">
        <f t="shared" si="9"/>
        <v>0.39720570537542238</v>
      </c>
      <c r="F70" s="8">
        <f t="shared" si="5"/>
        <v>0.39720570537542238</v>
      </c>
      <c r="G70" s="8" t="str">
        <f t="shared" si="6"/>
        <v/>
      </c>
      <c r="H70" s="8" t="str">
        <f t="shared" si="7"/>
        <v/>
      </c>
      <c r="I70" s="8">
        <f t="shared" si="8"/>
        <v>0.37060602754191807</v>
      </c>
    </row>
    <row r="71" spans="1:9" x14ac:dyDescent="0.3">
      <c r="A71" s="7">
        <v>61</v>
      </c>
      <c r="B71" s="16">
        <v>46168</v>
      </c>
      <c r="C71" s="5"/>
      <c r="D71" s="7"/>
      <c r="E71" s="8">
        <f t="shared" si="9"/>
        <v>0.34578765055900829</v>
      </c>
      <c r="F71" s="8">
        <f t="shared" si="5"/>
        <v>0.34578765055900829</v>
      </c>
      <c r="G71" s="8" t="str">
        <f t="shared" si="6"/>
        <v/>
      </c>
      <c r="H71" s="8" t="str">
        <f t="shared" si="7"/>
        <v/>
      </c>
      <c r="I71" s="8">
        <f t="shared" si="8"/>
        <v>0.3226312860375557</v>
      </c>
    </row>
    <row r="72" spans="1:9" x14ac:dyDescent="0.3">
      <c r="A72" s="7">
        <v>62</v>
      </c>
      <c r="B72" s="16">
        <v>46169</v>
      </c>
      <c r="C72" s="5"/>
      <c r="D72" s="7"/>
      <c r="E72" s="8">
        <f t="shared" si="9"/>
        <v>0.30102563397498799</v>
      </c>
      <c r="F72" s="8">
        <f t="shared" si="5"/>
        <v>0.30102563397498799</v>
      </c>
      <c r="G72" s="8" t="str">
        <f t="shared" si="6"/>
        <v/>
      </c>
      <c r="H72" s="8" t="str">
        <f t="shared" si="7"/>
        <v/>
      </c>
      <c r="I72" s="8">
        <f t="shared" si="8"/>
        <v>0.28086684779694704</v>
      </c>
    </row>
    <row r="73" spans="1:9" x14ac:dyDescent="0.3">
      <c r="A73" s="7">
        <v>63</v>
      </c>
      <c r="B73" s="16">
        <v>46170</v>
      </c>
      <c r="C73" s="5"/>
      <c r="D73" s="7"/>
      <c r="E73" s="8">
        <f t="shared" si="9"/>
        <v>0.26205803522349869</v>
      </c>
      <c r="F73" s="8">
        <f t="shared" si="5"/>
        <v>0.26205803522349869</v>
      </c>
      <c r="G73" s="8" t="str">
        <f t="shared" si="6"/>
        <v/>
      </c>
      <c r="H73" s="8" t="str">
        <f t="shared" si="7"/>
        <v/>
      </c>
      <c r="I73" s="8">
        <f t="shared" si="8"/>
        <v>0.24450879256083902</v>
      </c>
    </row>
    <row r="74" spans="1:9" x14ac:dyDescent="0.3">
      <c r="A74" s="7">
        <v>64</v>
      </c>
      <c r="B74" s="16">
        <v>46171</v>
      </c>
      <c r="C74" s="5"/>
      <c r="D74" s="7"/>
      <c r="E74" s="8">
        <f t="shared" si="9"/>
        <v>0.22813477018009232</v>
      </c>
      <c r="F74" s="8">
        <f t="shared" ref="F74:F105" si="10">E74+IF(C74="",0,C74*$C$6/$C$7*1000)</f>
        <v>0.22813477018009232</v>
      </c>
      <c r="G74" s="8" t="str">
        <f t="shared" ref="G74:G105" si="11">IF(C74="","",F74)</f>
        <v/>
      </c>
      <c r="H74" s="8" t="str">
        <f t="shared" ref="H74:H99" si="12">IF(C74="","",E74)</f>
        <v/>
      </c>
      <c r="I74" s="8">
        <f t="shared" ref="I74:I99" si="13">IF(C74="",E74*EXP(-$C$5*0.5),(E74+F74)/2)</f>
        <v>0.21285726709469358</v>
      </c>
    </row>
    <row r="75" spans="1:9" x14ac:dyDescent="0.3">
      <c r="A75" s="7">
        <v>65</v>
      </c>
      <c r="B75" s="16">
        <v>46172</v>
      </c>
      <c r="C75" s="5"/>
      <c r="D75" s="7"/>
      <c r="E75" s="8">
        <f t="shared" ref="E75:E99" si="14">F74*EXP(-$C$5)</f>
        <v>0.19860285268771119</v>
      </c>
      <c r="F75" s="8">
        <f t="shared" si="10"/>
        <v>0.19860285268771119</v>
      </c>
      <c r="G75" s="8" t="str">
        <f t="shared" si="11"/>
        <v/>
      </c>
      <c r="H75" s="8" t="str">
        <f t="shared" si="12"/>
        <v/>
      </c>
      <c r="I75" s="8">
        <f t="shared" si="13"/>
        <v>0.18530301377095904</v>
      </c>
    </row>
    <row r="76" spans="1:9" x14ac:dyDescent="0.3">
      <c r="A76" s="7">
        <v>66</v>
      </c>
      <c r="B76" s="16">
        <v>46173</v>
      </c>
      <c r="C76" s="5"/>
      <c r="D76" s="7"/>
      <c r="E76" s="8">
        <f t="shared" si="14"/>
        <v>0.17289382527950414</v>
      </c>
      <c r="F76" s="8">
        <f t="shared" si="10"/>
        <v>0.17289382527950414</v>
      </c>
      <c r="G76" s="8" t="str">
        <f t="shared" si="11"/>
        <v/>
      </c>
      <c r="H76" s="8" t="str">
        <f t="shared" si="12"/>
        <v/>
      </c>
      <c r="I76" s="8">
        <f t="shared" si="13"/>
        <v>0.16131564301877785</v>
      </c>
    </row>
    <row r="77" spans="1:9" x14ac:dyDescent="0.3">
      <c r="A77" s="7">
        <v>67</v>
      </c>
      <c r="B77" s="16">
        <v>46174</v>
      </c>
      <c r="C77" s="5"/>
      <c r="D77" s="7"/>
      <c r="E77" s="8">
        <f t="shared" si="14"/>
        <v>0.150512816987494</v>
      </c>
      <c r="F77" s="8">
        <f t="shared" si="10"/>
        <v>0.150512816987494</v>
      </c>
      <c r="G77" s="8" t="str">
        <f t="shared" si="11"/>
        <v/>
      </c>
      <c r="H77" s="8" t="str">
        <f t="shared" si="12"/>
        <v/>
      </c>
      <c r="I77" s="8">
        <f t="shared" si="13"/>
        <v>0.14043342389847352</v>
      </c>
    </row>
    <row r="78" spans="1:9" x14ac:dyDescent="0.3">
      <c r="A78" s="7">
        <v>68</v>
      </c>
      <c r="B78" s="16">
        <v>46175</v>
      </c>
      <c r="C78" s="5"/>
      <c r="D78" s="7"/>
      <c r="E78" s="8">
        <f t="shared" si="14"/>
        <v>0.13102901761174934</v>
      </c>
      <c r="F78" s="8">
        <f t="shared" si="10"/>
        <v>0.13102901761174934</v>
      </c>
      <c r="G78" s="8" t="str">
        <f t="shared" si="11"/>
        <v/>
      </c>
      <c r="H78" s="8" t="str">
        <f t="shared" si="12"/>
        <v/>
      </c>
      <c r="I78" s="8">
        <f t="shared" si="13"/>
        <v>0.12225439628041951</v>
      </c>
    </row>
    <row r="79" spans="1:9" x14ac:dyDescent="0.3">
      <c r="A79" s="7">
        <v>69</v>
      </c>
      <c r="B79" s="16">
        <v>46176</v>
      </c>
      <c r="C79" s="5"/>
      <c r="D79" s="7"/>
      <c r="E79" s="8">
        <f t="shared" si="14"/>
        <v>0.11406738509004616</v>
      </c>
      <c r="F79" s="8">
        <f t="shared" si="10"/>
        <v>0.11406738509004616</v>
      </c>
      <c r="G79" s="8" t="str">
        <f t="shared" si="11"/>
        <v/>
      </c>
      <c r="H79" s="8" t="str">
        <f t="shared" si="12"/>
        <v/>
      </c>
      <c r="I79" s="8">
        <f t="shared" si="13"/>
        <v>0.10642863354734679</v>
      </c>
    </row>
    <row r="80" spans="1:9" x14ac:dyDescent="0.3">
      <c r="A80" s="7">
        <v>70</v>
      </c>
      <c r="B80" s="16">
        <v>46177</v>
      </c>
      <c r="C80" s="5"/>
      <c r="D80" s="7"/>
      <c r="E80" s="8">
        <f t="shared" si="14"/>
        <v>9.9301426343855595E-2</v>
      </c>
      <c r="F80" s="8">
        <f t="shared" si="10"/>
        <v>9.9301426343855595E-2</v>
      </c>
      <c r="G80" s="8" t="str">
        <f t="shared" si="11"/>
        <v/>
      </c>
      <c r="H80" s="8" t="str">
        <f t="shared" si="12"/>
        <v/>
      </c>
      <c r="I80" s="8">
        <f t="shared" si="13"/>
        <v>9.2651506885479518E-2</v>
      </c>
    </row>
    <row r="81" spans="1:9" x14ac:dyDescent="0.3">
      <c r="A81" s="7">
        <v>71</v>
      </c>
      <c r="B81" s="16">
        <v>46178</v>
      </c>
      <c r="C81" s="5"/>
      <c r="D81" s="7"/>
      <c r="E81" s="8">
        <f t="shared" si="14"/>
        <v>8.6446912639752072E-2</v>
      </c>
      <c r="F81" s="8">
        <f t="shared" si="10"/>
        <v>8.6446912639752072E-2</v>
      </c>
      <c r="G81" s="8" t="str">
        <f t="shared" si="11"/>
        <v/>
      </c>
      <c r="H81" s="8" t="str">
        <f t="shared" si="12"/>
        <v/>
      </c>
      <c r="I81" s="8">
        <f t="shared" si="13"/>
        <v>8.0657821509388924E-2</v>
      </c>
    </row>
    <row r="82" spans="1:9" x14ac:dyDescent="0.3">
      <c r="A82" s="7">
        <v>72</v>
      </c>
      <c r="B82" s="16">
        <v>46179</v>
      </c>
      <c r="C82" s="5"/>
      <c r="D82" s="7"/>
      <c r="E82" s="8">
        <f t="shared" si="14"/>
        <v>7.5256408493746998E-2</v>
      </c>
      <c r="F82" s="8">
        <f t="shared" si="10"/>
        <v>7.5256408493746998E-2</v>
      </c>
      <c r="G82" s="8" t="str">
        <f t="shared" si="11"/>
        <v/>
      </c>
      <c r="H82" s="8" t="str">
        <f t="shared" si="12"/>
        <v/>
      </c>
      <c r="I82" s="8">
        <f t="shared" si="13"/>
        <v>7.021671194923676E-2</v>
      </c>
    </row>
    <row r="83" spans="1:9" x14ac:dyDescent="0.3">
      <c r="A83" s="7">
        <v>73</v>
      </c>
      <c r="B83" s="16">
        <v>46180</v>
      </c>
      <c r="C83" s="5"/>
      <c r="D83" s="7"/>
      <c r="E83" s="8">
        <f t="shared" si="14"/>
        <v>6.5514508805874672E-2</v>
      </c>
      <c r="F83" s="8">
        <f t="shared" si="10"/>
        <v>6.5514508805874672E-2</v>
      </c>
      <c r="G83" s="8" t="str">
        <f t="shared" si="11"/>
        <v/>
      </c>
      <c r="H83" s="8" t="str">
        <f t="shared" si="12"/>
        <v/>
      </c>
      <c r="I83" s="8">
        <f t="shared" si="13"/>
        <v>6.1127198140209754E-2</v>
      </c>
    </row>
    <row r="84" spans="1:9" x14ac:dyDescent="0.3">
      <c r="A84" s="7">
        <v>74</v>
      </c>
      <c r="B84" s="16">
        <v>46181</v>
      </c>
      <c r="C84" s="5"/>
      <c r="D84" s="7"/>
      <c r="E84" s="8">
        <f t="shared" si="14"/>
        <v>5.7033692545023079E-2</v>
      </c>
      <c r="F84" s="8">
        <f t="shared" si="10"/>
        <v>5.7033692545023079E-2</v>
      </c>
      <c r="G84" s="8" t="str">
        <f t="shared" si="11"/>
        <v/>
      </c>
      <c r="H84" s="8" t="str">
        <f t="shared" si="12"/>
        <v/>
      </c>
      <c r="I84" s="8">
        <f t="shared" si="13"/>
        <v>5.3214316773673394E-2</v>
      </c>
    </row>
    <row r="85" spans="1:9" x14ac:dyDescent="0.3">
      <c r="A85" s="7">
        <v>75</v>
      </c>
      <c r="B85" s="16">
        <v>46182</v>
      </c>
      <c r="C85" s="5"/>
      <c r="D85" s="7"/>
      <c r="E85" s="8">
        <f t="shared" si="14"/>
        <v>4.9650713171927797E-2</v>
      </c>
      <c r="F85" s="8">
        <f t="shared" si="10"/>
        <v>4.9650713171927797E-2</v>
      </c>
      <c r="G85" s="8" t="str">
        <f t="shared" si="11"/>
        <v/>
      </c>
      <c r="H85" s="8" t="str">
        <f t="shared" si="12"/>
        <v/>
      </c>
      <c r="I85" s="8">
        <f t="shared" si="13"/>
        <v>4.6325753442739759E-2</v>
      </c>
    </row>
    <row r="86" spans="1:9" x14ac:dyDescent="0.3">
      <c r="A86" s="7">
        <v>76</v>
      </c>
      <c r="B86" s="16">
        <v>46183</v>
      </c>
      <c r="C86" s="5"/>
      <c r="D86" s="7"/>
      <c r="E86" s="8">
        <f t="shared" si="14"/>
        <v>4.3223456319876036E-2</v>
      </c>
      <c r="F86" s="8">
        <f t="shared" si="10"/>
        <v>4.3223456319876036E-2</v>
      </c>
      <c r="G86" s="8" t="str">
        <f t="shared" si="11"/>
        <v/>
      </c>
      <c r="H86" s="8" t="str">
        <f t="shared" si="12"/>
        <v/>
      </c>
      <c r="I86" s="8">
        <f t="shared" si="13"/>
        <v>4.0328910754694462E-2</v>
      </c>
    </row>
    <row r="87" spans="1:9" x14ac:dyDescent="0.3">
      <c r="A87" s="7">
        <v>77</v>
      </c>
      <c r="B87" s="16">
        <v>46184</v>
      </c>
      <c r="C87" s="5"/>
      <c r="D87" s="7"/>
      <c r="E87" s="8">
        <f t="shared" si="14"/>
        <v>3.7628204246873499E-2</v>
      </c>
      <c r="F87" s="8">
        <f t="shared" si="10"/>
        <v>3.7628204246873499E-2</v>
      </c>
      <c r="G87" s="8" t="str">
        <f t="shared" si="11"/>
        <v/>
      </c>
      <c r="H87" s="8" t="str">
        <f t="shared" si="12"/>
        <v/>
      </c>
      <c r="I87" s="8">
        <f t="shared" si="13"/>
        <v>3.510835597461838E-2</v>
      </c>
    </row>
    <row r="88" spans="1:9" x14ac:dyDescent="0.3">
      <c r="A88" s="7">
        <v>78</v>
      </c>
      <c r="B88" s="16">
        <v>46185</v>
      </c>
      <c r="C88" s="5"/>
      <c r="D88" s="7"/>
      <c r="E88" s="8">
        <f t="shared" si="14"/>
        <v>3.2757254402937336E-2</v>
      </c>
      <c r="F88" s="8">
        <f t="shared" si="10"/>
        <v>3.2757254402937336E-2</v>
      </c>
      <c r="G88" s="8" t="str">
        <f t="shared" si="11"/>
        <v/>
      </c>
      <c r="H88" s="8" t="str">
        <f t="shared" si="12"/>
        <v/>
      </c>
      <c r="I88" s="8">
        <f t="shared" si="13"/>
        <v>3.0563599070104877E-2</v>
      </c>
    </row>
    <row r="89" spans="1:9" x14ac:dyDescent="0.3">
      <c r="A89" s="7">
        <v>79</v>
      </c>
      <c r="B89" s="16">
        <v>46186</v>
      </c>
      <c r="C89" s="5"/>
      <c r="D89" s="7"/>
      <c r="E89" s="8">
        <f t="shared" si="14"/>
        <v>2.851684627251154E-2</v>
      </c>
      <c r="F89" s="8">
        <f t="shared" si="10"/>
        <v>2.851684627251154E-2</v>
      </c>
      <c r="G89" s="8" t="str">
        <f t="shared" si="11"/>
        <v/>
      </c>
      <c r="H89" s="8" t="str">
        <f t="shared" si="12"/>
        <v/>
      </c>
      <c r="I89" s="8">
        <f t="shared" si="13"/>
        <v>2.6607158386836697E-2</v>
      </c>
    </row>
    <row r="90" spans="1:9" x14ac:dyDescent="0.3">
      <c r="A90" s="7">
        <v>80</v>
      </c>
      <c r="B90" s="16">
        <v>46187</v>
      </c>
      <c r="C90" s="5"/>
      <c r="D90" s="7"/>
      <c r="E90" s="8">
        <f t="shared" si="14"/>
        <v>2.4825356585963899E-2</v>
      </c>
      <c r="F90" s="8">
        <f t="shared" si="10"/>
        <v>2.4825356585963899E-2</v>
      </c>
      <c r="G90" s="8" t="str">
        <f t="shared" si="11"/>
        <v/>
      </c>
      <c r="H90" s="8" t="str">
        <f t="shared" si="12"/>
        <v/>
      </c>
      <c r="I90" s="8">
        <f t="shared" si="13"/>
        <v>2.3162876721369879E-2</v>
      </c>
    </row>
    <row r="91" spans="1:9" x14ac:dyDescent="0.3">
      <c r="A91" s="7">
        <v>81</v>
      </c>
      <c r="B91" s="16">
        <v>46188</v>
      </c>
      <c r="C91" s="5"/>
      <c r="D91" s="7"/>
      <c r="E91" s="8">
        <f t="shared" si="14"/>
        <v>2.1611728159938018E-2</v>
      </c>
      <c r="F91" s="8">
        <f t="shared" si="10"/>
        <v>2.1611728159938018E-2</v>
      </c>
      <c r="G91" s="8" t="str">
        <f t="shared" si="11"/>
        <v/>
      </c>
      <c r="H91" s="8" t="str">
        <f t="shared" si="12"/>
        <v/>
      </c>
      <c r="I91" s="8">
        <f t="shared" si="13"/>
        <v>2.0164455377347231E-2</v>
      </c>
    </row>
    <row r="92" spans="1:9" x14ac:dyDescent="0.3">
      <c r="A92" s="7">
        <v>82</v>
      </c>
      <c r="B92" s="16">
        <v>46189</v>
      </c>
      <c r="C92" s="5"/>
      <c r="D92" s="7"/>
      <c r="E92" s="8">
        <f t="shared" si="14"/>
        <v>1.881410212343675E-2</v>
      </c>
      <c r="F92" s="8">
        <f t="shared" si="10"/>
        <v>1.881410212343675E-2</v>
      </c>
      <c r="G92" s="8" t="str">
        <f t="shared" si="11"/>
        <v/>
      </c>
      <c r="H92" s="8" t="str">
        <f t="shared" si="12"/>
        <v/>
      </c>
      <c r="I92" s="8">
        <f t="shared" si="13"/>
        <v>1.755417798730919E-2</v>
      </c>
    </row>
    <row r="93" spans="1:9" x14ac:dyDescent="0.3">
      <c r="A93" s="7">
        <v>83</v>
      </c>
      <c r="B93" s="16">
        <v>46190</v>
      </c>
      <c r="C93" s="5"/>
      <c r="D93" s="7"/>
      <c r="E93" s="8">
        <f t="shared" si="14"/>
        <v>1.6378627201468668E-2</v>
      </c>
      <c r="F93" s="8">
        <f t="shared" si="10"/>
        <v>1.6378627201468668E-2</v>
      </c>
      <c r="G93" s="8" t="str">
        <f t="shared" si="11"/>
        <v/>
      </c>
      <c r="H93" s="8" t="str">
        <f t="shared" si="12"/>
        <v/>
      </c>
      <c r="I93" s="8">
        <f t="shared" si="13"/>
        <v>1.5281799535052439E-2</v>
      </c>
    </row>
    <row r="94" spans="1:9" x14ac:dyDescent="0.3">
      <c r="A94" s="7">
        <v>84</v>
      </c>
      <c r="B94" s="16">
        <v>46191</v>
      </c>
      <c r="C94" s="5"/>
      <c r="D94" s="7"/>
      <c r="E94" s="8">
        <f t="shared" si="14"/>
        <v>1.425842313625577E-2</v>
      </c>
      <c r="F94" s="8">
        <f t="shared" si="10"/>
        <v>1.425842313625577E-2</v>
      </c>
      <c r="G94" s="8" t="str">
        <f t="shared" si="11"/>
        <v/>
      </c>
      <c r="H94" s="8" t="str">
        <f t="shared" si="12"/>
        <v/>
      </c>
      <c r="I94" s="8">
        <f t="shared" si="13"/>
        <v>1.3303579193418348E-2</v>
      </c>
    </row>
    <row r="95" spans="1:9" x14ac:dyDescent="0.3">
      <c r="A95" s="7">
        <v>85</v>
      </c>
      <c r="B95" s="16">
        <v>46192</v>
      </c>
      <c r="C95" s="5"/>
      <c r="D95" s="7"/>
      <c r="E95" s="8">
        <f t="shared" si="14"/>
        <v>1.2412678292981949E-2</v>
      </c>
      <c r="F95" s="8">
        <f t="shared" si="10"/>
        <v>1.2412678292981949E-2</v>
      </c>
      <c r="G95" s="8" t="str">
        <f t="shared" si="11"/>
        <v/>
      </c>
      <c r="H95" s="8" t="str">
        <f t="shared" si="12"/>
        <v/>
      </c>
      <c r="I95" s="8">
        <f t="shared" si="13"/>
        <v>1.158143836068494E-2</v>
      </c>
    </row>
    <row r="96" spans="1:9" x14ac:dyDescent="0.3">
      <c r="A96" s="7">
        <v>86</v>
      </c>
      <c r="B96" s="16">
        <v>46193</v>
      </c>
      <c r="C96" s="5"/>
      <c r="D96" s="7"/>
      <c r="E96" s="8">
        <f t="shared" si="14"/>
        <v>1.0805864079969009E-2</v>
      </c>
      <c r="F96" s="8">
        <f t="shared" si="10"/>
        <v>1.0805864079969009E-2</v>
      </c>
      <c r="G96" s="8" t="str">
        <f t="shared" si="11"/>
        <v/>
      </c>
      <c r="H96" s="8" t="str">
        <f t="shared" si="12"/>
        <v/>
      </c>
      <c r="I96" s="8">
        <f t="shared" si="13"/>
        <v>1.0082227688673616E-2</v>
      </c>
    </row>
    <row r="97" spans="1:9" x14ac:dyDescent="0.3">
      <c r="A97" s="7">
        <v>87</v>
      </c>
      <c r="B97" s="16">
        <v>46194</v>
      </c>
      <c r="C97" s="5"/>
      <c r="D97" s="7"/>
      <c r="E97" s="8">
        <f t="shared" si="14"/>
        <v>9.4070510617183748E-3</v>
      </c>
      <c r="F97" s="8">
        <f t="shared" si="10"/>
        <v>9.4070510617183748E-3</v>
      </c>
      <c r="G97" s="8" t="str">
        <f t="shared" si="11"/>
        <v/>
      </c>
      <c r="H97" s="8" t="str">
        <f t="shared" si="12"/>
        <v/>
      </c>
      <c r="I97" s="8">
        <f t="shared" si="13"/>
        <v>8.777088993654595E-3</v>
      </c>
    </row>
    <row r="98" spans="1:9" x14ac:dyDescent="0.3">
      <c r="A98" s="7">
        <v>88</v>
      </c>
      <c r="B98" s="16">
        <v>46195</v>
      </c>
      <c r="C98" s="5"/>
      <c r="D98" s="7"/>
      <c r="E98" s="8">
        <f t="shared" si="14"/>
        <v>8.189313600734334E-3</v>
      </c>
      <c r="F98" s="8">
        <f t="shared" si="10"/>
        <v>8.189313600734334E-3</v>
      </c>
      <c r="G98" s="8" t="str">
        <f t="shared" si="11"/>
        <v/>
      </c>
      <c r="H98" s="8" t="str">
        <f t="shared" si="12"/>
        <v/>
      </c>
      <c r="I98" s="8">
        <f t="shared" si="13"/>
        <v>7.6408997675262193E-3</v>
      </c>
    </row>
    <row r="99" spans="1:9" x14ac:dyDescent="0.3">
      <c r="A99" s="7">
        <v>89</v>
      </c>
      <c r="B99" s="16">
        <v>46196</v>
      </c>
      <c r="C99" s="5"/>
      <c r="D99" s="7"/>
      <c r="E99" s="8">
        <f t="shared" si="14"/>
        <v>7.1292115681278849E-3</v>
      </c>
      <c r="F99" s="8">
        <f t="shared" si="10"/>
        <v>7.1292115681278849E-3</v>
      </c>
      <c r="G99" s="8" t="str">
        <f t="shared" si="11"/>
        <v/>
      </c>
      <c r="H99" s="8" t="str">
        <f t="shared" si="12"/>
        <v/>
      </c>
      <c r="I99" s="8">
        <f t="shared" si="13"/>
        <v>6.6517895967091742E-3</v>
      </c>
    </row>
  </sheetData>
  <mergeCells count="1">
    <mergeCell ref="A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"/>
  <sheetViews>
    <sheetView workbookViewId="0">
      <selection activeCell="D25" sqref="D25"/>
    </sheetView>
  </sheetViews>
  <sheetFormatPr defaultRowHeight="14.4" x14ac:dyDescent="0.3"/>
  <cols>
    <col min="1" max="1" width="8" customWidth="1"/>
    <col min="2" max="4" width="22" customWidth="1"/>
    <col min="5" max="5" width="29.109375" customWidth="1"/>
  </cols>
  <sheetData>
    <row r="1" spans="1:5" ht="18" x14ac:dyDescent="0.35">
      <c r="A1" s="15" t="s">
        <v>18</v>
      </c>
      <c r="B1" s="14"/>
      <c r="C1" s="14"/>
      <c r="D1" s="14"/>
      <c r="E1" s="14"/>
    </row>
    <row r="3" spans="1:5" ht="15.6" x14ac:dyDescent="0.3">
      <c r="A3" s="9" t="s">
        <v>10</v>
      </c>
      <c r="B3" s="10" t="s">
        <v>19</v>
      </c>
      <c r="C3" s="10" t="s">
        <v>20</v>
      </c>
      <c r="D3" s="10" t="s">
        <v>21</v>
      </c>
      <c r="E3" s="10" t="s">
        <v>22</v>
      </c>
    </row>
    <row r="4" spans="1:5" x14ac:dyDescent="0.3">
      <c r="A4" s="11">
        <v>0</v>
      </c>
      <c r="B4" s="12">
        <v>0</v>
      </c>
      <c r="C4" s="12">
        <v>0</v>
      </c>
      <c r="D4" s="12">
        <v>0</v>
      </c>
      <c r="E4" s="12">
        <v>0</v>
      </c>
    </row>
    <row r="5" spans="1:5" x14ac:dyDescent="0.3">
      <c r="A5" s="11">
        <v>0.25</v>
      </c>
      <c r="B5" s="12">
        <v>22.42</v>
      </c>
      <c r="C5" s="12">
        <v>22.42</v>
      </c>
      <c r="D5" s="12">
        <v>11.21</v>
      </c>
      <c r="E5" s="12">
        <v>22.42</v>
      </c>
    </row>
    <row r="6" spans="1:5" x14ac:dyDescent="0.3">
      <c r="A6" s="11">
        <v>0.5</v>
      </c>
      <c r="B6" s="12">
        <v>41.44</v>
      </c>
      <c r="C6" s="12">
        <v>41.44</v>
      </c>
      <c r="D6" s="12">
        <v>20.72</v>
      </c>
      <c r="E6" s="12">
        <v>41.44</v>
      </c>
    </row>
    <row r="7" spans="1:5" x14ac:dyDescent="0.3">
      <c r="A7" s="11">
        <v>0.75</v>
      </c>
      <c r="B7" s="12">
        <v>57.48</v>
      </c>
      <c r="C7" s="12">
        <v>57.48</v>
      </c>
      <c r="D7" s="12">
        <v>28.74</v>
      </c>
      <c r="E7" s="12">
        <v>57.48</v>
      </c>
    </row>
    <row r="8" spans="1:5" x14ac:dyDescent="0.3">
      <c r="A8" s="11">
        <v>1</v>
      </c>
      <c r="B8" s="12">
        <v>70.930000000000007</v>
      </c>
      <c r="C8" s="12">
        <v>70.930000000000007</v>
      </c>
      <c r="D8" s="12">
        <v>35.47</v>
      </c>
      <c r="E8" s="12">
        <v>70.930000000000007</v>
      </c>
    </row>
    <row r="9" spans="1:5" x14ac:dyDescent="0.3">
      <c r="A9" s="11">
        <v>1.25</v>
      </c>
      <c r="B9" s="12">
        <v>82.11</v>
      </c>
      <c r="C9" s="12">
        <v>82.11</v>
      </c>
      <c r="D9" s="12">
        <v>41.06</v>
      </c>
      <c r="E9" s="12">
        <v>82.11</v>
      </c>
    </row>
    <row r="10" spans="1:5" x14ac:dyDescent="0.3">
      <c r="A10" s="11">
        <v>1.5</v>
      </c>
      <c r="B10" s="12">
        <v>91.32</v>
      </c>
      <c r="C10" s="12">
        <v>91.32</v>
      </c>
      <c r="D10" s="12">
        <v>45.66</v>
      </c>
      <c r="E10" s="12">
        <v>91.32</v>
      </c>
    </row>
    <row r="11" spans="1:5" x14ac:dyDescent="0.3">
      <c r="A11" s="11">
        <v>1.75</v>
      </c>
      <c r="B11" s="12">
        <v>98.79</v>
      </c>
      <c r="C11" s="12">
        <v>98.79</v>
      </c>
      <c r="D11" s="12">
        <v>49.4</v>
      </c>
      <c r="E11" s="12">
        <v>98.79</v>
      </c>
    </row>
    <row r="12" spans="1:5" x14ac:dyDescent="0.3">
      <c r="A12" s="11">
        <v>2</v>
      </c>
      <c r="B12" s="12">
        <v>104.77</v>
      </c>
      <c r="C12" s="12">
        <v>104.77</v>
      </c>
      <c r="D12" s="12">
        <v>52.39</v>
      </c>
      <c r="E12" s="12">
        <v>104.77</v>
      </c>
    </row>
    <row r="13" spans="1:5" x14ac:dyDescent="0.3">
      <c r="A13" s="11">
        <v>2.25</v>
      </c>
      <c r="B13" s="12">
        <v>109.45</v>
      </c>
      <c r="C13" s="12">
        <v>109.45</v>
      </c>
      <c r="D13" s="12">
        <v>54.73</v>
      </c>
      <c r="E13" s="12">
        <v>109.45</v>
      </c>
    </row>
    <row r="14" spans="1:5" x14ac:dyDescent="0.3">
      <c r="A14" s="11">
        <v>2.5</v>
      </c>
      <c r="B14" s="12">
        <v>113</v>
      </c>
      <c r="C14" s="12">
        <v>113</v>
      </c>
      <c r="D14" s="12">
        <v>56.5</v>
      </c>
      <c r="E14" s="12">
        <v>113</v>
      </c>
    </row>
    <row r="15" spans="1:5" x14ac:dyDescent="0.3">
      <c r="A15" s="11">
        <v>2.75</v>
      </c>
      <c r="B15" s="12">
        <v>115.57</v>
      </c>
      <c r="C15" s="12">
        <v>115.57</v>
      </c>
      <c r="D15" s="12">
        <v>57.79</v>
      </c>
      <c r="E15" s="12">
        <v>115.57</v>
      </c>
    </row>
    <row r="16" spans="1:5" x14ac:dyDescent="0.3">
      <c r="A16" s="11">
        <v>3</v>
      </c>
      <c r="B16" s="12">
        <v>117.31</v>
      </c>
      <c r="C16" s="12">
        <v>117.31</v>
      </c>
      <c r="D16" s="12">
        <v>58.65</v>
      </c>
      <c r="E16" s="12">
        <v>117.31</v>
      </c>
    </row>
    <row r="17" spans="1:5" x14ac:dyDescent="0.3">
      <c r="A17" s="11">
        <v>3.25</v>
      </c>
      <c r="B17" s="12">
        <v>118.31</v>
      </c>
      <c r="C17" s="12">
        <v>118.31</v>
      </c>
      <c r="D17" s="12">
        <v>59.16</v>
      </c>
      <c r="E17" s="12">
        <v>118.31</v>
      </c>
    </row>
    <row r="18" spans="1:5" x14ac:dyDescent="0.3">
      <c r="A18" s="11">
        <v>3.5</v>
      </c>
      <c r="B18" s="12">
        <v>118.7</v>
      </c>
      <c r="C18" s="12">
        <v>118.7</v>
      </c>
      <c r="D18" s="12">
        <v>59.35</v>
      </c>
      <c r="E18" s="12">
        <v>118.7</v>
      </c>
    </row>
    <row r="19" spans="1:5" x14ac:dyDescent="0.3">
      <c r="A19" s="11">
        <v>3.75</v>
      </c>
      <c r="B19" s="12">
        <v>118.55</v>
      </c>
      <c r="C19" s="12">
        <v>118.55</v>
      </c>
      <c r="D19" s="12">
        <v>59.27</v>
      </c>
      <c r="E19" s="12">
        <v>118.55</v>
      </c>
    </row>
    <row r="20" spans="1:5" x14ac:dyDescent="0.3">
      <c r="A20" s="11">
        <v>4</v>
      </c>
      <c r="B20" s="12">
        <v>117.95</v>
      </c>
      <c r="C20" s="12">
        <v>117.95</v>
      </c>
      <c r="D20" s="12">
        <v>58.97</v>
      </c>
      <c r="E20" s="12">
        <v>117.95</v>
      </c>
    </row>
    <row r="21" spans="1:5" x14ac:dyDescent="0.3">
      <c r="A21" s="11">
        <v>4.25</v>
      </c>
      <c r="B21" s="12">
        <v>116.96</v>
      </c>
      <c r="C21" s="12">
        <v>116.96</v>
      </c>
      <c r="D21" s="12">
        <v>69.69</v>
      </c>
      <c r="E21" s="12">
        <v>116.96</v>
      </c>
    </row>
    <row r="22" spans="1:5" x14ac:dyDescent="0.3">
      <c r="A22" s="11">
        <v>4.5</v>
      </c>
      <c r="B22" s="12">
        <v>115.66</v>
      </c>
      <c r="C22" s="12">
        <v>115.66</v>
      </c>
      <c r="D22" s="12">
        <v>78.55</v>
      </c>
      <c r="E22" s="12">
        <v>115.66</v>
      </c>
    </row>
    <row r="23" spans="1:5" x14ac:dyDescent="0.3">
      <c r="A23" s="11">
        <v>4.75</v>
      </c>
      <c r="B23" s="12">
        <v>114.08</v>
      </c>
      <c r="C23" s="12">
        <v>114.08</v>
      </c>
      <c r="D23" s="12">
        <v>85.78</v>
      </c>
      <c r="E23" s="12">
        <v>114.08</v>
      </c>
    </row>
    <row r="24" spans="1:5" x14ac:dyDescent="0.3">
      <c r="A24" s="11">
        <v>5</v>
      </c>
      <c r="B24" s="12">
        <v>112.28</v>
      </c>
      <c r="C24" s="12">
        <v>112.28</v>
      </c>
      <c r="D24" s="12">
        <v>91.61</v>
      </c>
      <c r="E24" s="12">
        <v>112.28</v>
      </c>
    </row>
    <row r="25" spans="1:5" x14ac:dyDescent="0.3">
      <c r="A25" s="11">
        <v>5.25</v>
      </c>
      <c r="B25" s="12">
        <v>110.29</v>
      </c>
      <c r="C25" s="12">
        <v>132.71</v>
      </c>
      <c r="D25" s="12">
        <v>96.2</v>
      </c>
      <c r="E25" s="12">
        <v>110.29</v>
      </c>
    </row>
    <row r="26" spans="1:5" x14ac:dyDescent="0.3">
      <c r="A26" s="11">
        <v>5.5</v>
      </c>
      <c r="B26" s="12">
        <v>108.16</v>
      </c>
      <c r="C26" s="12">
        <v>149.6</v>
      </c>
      <c r="D26" s="12">
        <v>99.74</v>
      </c>
      <c r="E26" s="12">
        <v>108.16</v>
      </c>
    </row>
    <row r="27" spans="1:5" x14ac:dyDescent="0.3">
      <c r="A27" s="11">
        <v>5.75</v>
      </c>
      <c r="B27" s="12">
        <v>105.91</v>
      </c>
      <c r="C27" s="12">
        <v>163.38999999999999</v>
      </c>
      <c r="D27" s="12">
        <v>102.35</v>
      </c>
      <c r="E27" s="12">
        <v>105.91</v>
      </c>
    </row>
    <row r="28" spans="1:5" x14ac:dyDescent="0.3">
      <c r="A28" s="11">
        <v>6</v>
      </c>
      <c r="B28" s="12">
        <v>103.57</v>
      </c>
      <c r="C28" s="12">
        <v>174.5</v>
      </c>
      <c r="D28" s="12">
        <v>104.17</v>
      </c>
      <c r="E28" s="12">
        <v>103.57</v>
      </c>
    </row>
    <row r="29" spans="1:5" x14ac:dyDescent="0.3">
      <c r="A29" s="11">
        <v>6.25</v>
      </c>
      <c r="B29" s="12">
        <v>101.16</v>
      </c>
      <c r="C29" s="12">
        <v>183.27</v>
      </c>
      <c r="D29" s="12">
        <v>105.3</v>
      </c>
      <c r="E29" s="12">
        <v>101.16</v>
      </c>
    </row>
    <row r="30" spans="1:5" x14ac:dyDescent="0.3">
      <c r="A30" s="11">
        <v>6.5</v>
      </c>
      <c r="B30" s="12">
        <v>98.69</v>
      </c>
      <c r="C30" s="12">
        <v>190.01</v>
      </c>
      <c r="D30" s="12">
        <v>105.85</v>
      </c>
      <c r="E30" s="12">
        <v>98.69</v>
      </c>
    </row>
    <row r="31" spans="1:5" x14ac:dyDescent="0.3">
      <c r="A31" s="11">
        <v>6.75</v>
      </c>
      <c r="B31" s="12">
        <v>96.2</v>
      </c>
      <c r="C31" s="12">
        <v>195</v>
      </c>
      <c r="D31" s="12">
        <v>105.89</v>
      </c>
      <c r="E31" s="12">
        <v>96.2</v>
      </c>
    </row>
    <row r="32" spans="1:5" x14ac:dyDescent="0.3">
      <c r="A32" s="11">
        <v>7</v>
      </c>
      <c r="B32" s="12">
        <v>93.69</v>
      </c>
      <c r="C32" s="12">
        <v>198.47</v>
      </c>
      <c r="D32" s="12">
        <v>105.5</v>
      </c>
      <c r="E32" s="12">
        <v>93.69</v>
      </c>
    </row>
    <row r="33" spans="1:5" x14ac:dyDescent="0.3">
      <c r="A33" s="11">
        <v>7.25</v>
      </c>
      <c r="B33" s="12">
        <v>113.59</v>
      </c>
      <c r="C33" s="12">
        <v>200.63</v>
      </c>
      <c r="D33" s="12">
        <v>115.95</v>
      </c>
      <c r="E33" s="12">
        <v>113.59</v>
      </c>
    </row>
    <row r="34" spans="1:5" x14ac:dyDescent="0.3">
      <c r="A34" s="11">
        <v>7.5</v>
      </c>
      <c r="B34" s="12">
        <v>130.11000000000001</v>
      </c>
      <c r="C34" s="12">
        <v>201.67</v>
      </c>
      <c r="D34" s="12">
        <v>124.4</v>
      </c>
      <c r="E34" s="12">
        <v>130.11000000000001</v>
      </c>
    </row>
    <row r="35" spans="1:5" x14ac:dyDescent="0.3">
      <c r="A35" s="11">
        <v>7.75</v>
      </c>
      <c r="B35" s="12">
        <v>143.66</v>
      </c>
      <c r="C35" s="12">
        <v>201.75</v>
      </c>
      <c r="D35" s="12">
        <v>131.1</v>
      </c>
      <c r="E35" s="12">
        <v>143.66</v>
      </c>
    </row>
    <row r="36" spans="1:5" x14ac:dyDescent="0.3">
      <c r="A36" s="11">
        <v>8</v>
      </c>
      <c r="B36" s="12">
        <v>154.63999999999999</v>
      </c>
      <c r="C36" s="12">
        <v>201.01</v>
      </c>
      <c r="D36" s="12">
        <v>136.29</v>
      </c>
      <c r="E36" s="12">
        <v>154.63999999999999</v>
      </c>
    </row>
    <row r="37" spans="1:5" x14ac:dyDescent="0.3">
      <c r="A37" s="11">
        <v>8.25</v>
      </c>
      <c r="B37" s="12">
        <v>163.38</v>
      </c>
      <c r="C37" s="12">
        <v>199.58</v>
      </c>
      <c r="D37" s="12">
        <v>140.16999999999999</v>
      </c>
      <c r="E37" s="12">
        <v>163.38</v>
      </c>
    </row>
    <row r="38" spans="1:5" x14ac:dyDescent="0.3">
      <c r="A38" s="11">
        <v>8.5</v>
      </c>
      <c r="B38" s="12">
        <v>170.17</v>
      </c>
      <c r="C38" s="12">
        <v>197.55</v>
      </c>
      <c r="D38" s="12">
        <v>142.91999999999999</v>
      </c>
      <c r="E38" s="12">
        <v>170.17</v>
      </c>
    </row>
    <row r="39" spans="1:5" x14ac:dyDescent="0.3">
      <c r="A39" s="11">
        <v>8.75</v>
      </c>
      <c r="B39" s="12">
        <v>175.29</v>
      </c>
      <c r="C39" s="12">
        <v>195.04</v>
      </c>
      <c r="D39" s="12">
        <v>144.68</v>
      </c>
      <c r="E39" s="12">
        <v>175.29</v>
      </c>
    </row>
    <row r="40" spans="1:5" x14ac:dyDescent="0.3">
      <c r="A40" s="11">
        <v>9</v>
      </c>
      <c r="B40" s="12">
        <v>178.94</v>
      </c>
      <c r="C40" s="12">
        <v>192.12</v>
      </c>
      <c r="D40" s="12">
        <v>145.61000000000001</v>
      </c>
      <c r="E40" s="12">
        <v>178.94</v>
      </c>
    </row>
    <row r="41" spans="1:5" x14ac:dyDescent="0.3">
      <c r="A41" s="11">
        <v>9.25</v>
      </c>
      <c r="B41" s="12">
        <v>181.34</v>
      </c>
      <c r="C41" s="12">
        <v>188.86</v>
      </c>
      <c r="D41" s="12">
        <v>145.82</v>
      </c>
      <c r="E41" s="12">
        <v>181.34</v>
      </c>
    </row>
    <row r="42" spans="1:5" x14ac:dyDescent="0.3">
      <c r="A42" s="11">
        <v>9.5</v>
      </c>
      <c r="B42" s="12">
        <v>182.66</v>
      </c>
      <c r="C42" s="12">
        <v>185.32</v>
      </c>
      <c r="D42" s="12">
        <v>145.41</v>
      </c>
      <c r="E42" s="12">
        <v>182.66</v>
      </c>
    </row>
    <row r="43" spans="1:5" x14ac:dyDescent="0.3">
      <c r="A43" s="11">
        <v>9.75</v>
      </c>
      <c r="B43" s="12">
        <v>183.06</v>
      </c>
      <c r="C43" s="12">
        <v>181.56</v>
      </c>
      <c r="D43" s="12">
        <v>144.47999999999999</v>
      </c>
      <c r="E43" s="12">
        <v>183.06</v>
      </c>
    </row>
    <row r="44" spans="1:5" x14ac:dyDescent="0.3">
      <c r="A44" s="11">
        <v>10</v>
      </c>
      <c r="B44" s="12">
        <v>182.66</v>
      </c>
      <c r="C44" s="12">
        <v>177.63</v>
      </c>
      <c r="D44" s="12">
        <v>143.11000000000001</v>
      </c>
      <c r="E44" s="12">
        <v>182.66</v>
      </c>
    </row>
    <row r="45" spans="1:5" x14ac:dyDescent="0.3">
      <c r="A45" s="11">
        <v>10.25</v>
      </c>
      <c r="B45" s="12">
        <v>181.59</v>
      </c>
      <c r="C45" s="12">
        <v>195.99</v>
      </c>
      <c r="D45" s="12">
        <v>152.58000000000001</v>
      </c>
      <c r="E45" s="12">
        <v>181.59</v>
      </c>
    </row>
    <row r="46" spans="1:5" x14ac:dyDescent="0.3">
      <c r="A46" s="11">
        <v>10.5</v>
      </c>
      <c r="B46" s="12">
        <v>179.95</v>
      </c>
      <c r="C46" s="12">
        <v>210.86</v>
      </c>
      <c r="D46" s="12">
        <v>160.04</v>
      </c>
      <c r="E46" s="12">
        <v>179.95</v>
      </c>
    </row>
    <row r="47" spans="1:5" x14ac:dyDescent="0.3">
      <c r="A47" s="11">
        <v>10.75</v>
      </c>
      <c r="B47" s="12">
        <v>177.84</v>
      </c>
      <c r="C47" s="12">
        <v>222.68</v>
      </c>
      <c r="D47" s="12">
        <v>165.76</v>
      </c>
      <c r="E47" s="12">
        <v>177.84</v>
      </c>
    </row>
    <row r="48" spans="1:5" x14ac:dyDescent="0.3">
      <c r="A48" s="11">
        <v>11</v>
      </c>
      <c r="B48" s="12">
        <v>175.32</v>
      </c>
      <c r="C48" s="12">
        <v>231.87</v>
      </c>
      <c r="D48" s="12">
        <v>169.97</v>
      </c>
      <c r="E48" s="12">
        <v>175.32</v>
      </c>
    </row>
    <row r="49" spans="1:5" x14ac:dyDescent="0.3">
      <c r="A49" s="11">
        <v>11.25</v>
      </c>
      <c r="B49" s="12">
        <v>172.47</v>
      </c>
      <c r="C49" s="12">
        <v>238.78</v>
      </c>
      <c r="D49" s="12">
        <v>172.88</v>
      </c>
      <c r="E49" s="12">
        <v>172.47</v>
      </c>
    </row>
    <row r="50" spans="1:5" x14ac:dyDescent="0.3">
      <c r="A50" s="11">
        <v>11.5</v>
      </c>
      <c r="B50" s="12">
        <v>169.36</v>
      </c>
      <c r="C50" s="12">
        <v>243.71</v>
      </c>
      <c r="D50" s="12">
        <v>174.67</v>
      </c>
      <c r="E50" s="12">
        <v>169.36</v>
      </c>
    </row>
    <row r="51" spans="1:5" x14ac:dyDescent="0.3">
      <c r="A51" s="11">
        <v>11.75</v>
      </c>
      <c r="B51" s="12">
        <v>166.02</v>
      </c>
      <c r="C51" s="12">
        <v>246.94</v>
      </c>
      <c r="D51" s="12">
        <v>175.5</v>
      </c>
      <c r="E51" s="12">
        <v>166.02</v>
      </c>
    </row>
    <row r="52" spans="1:5" x14ac:dyDescent="0.3">
      <c r="A52" s="11">
        <v>12</v>
      </c>
      <c r="B52" s="12">
        <v>162.52000000000001</v>
      </c>
      <c r="C52" s="12">
        <v>248.7</v>
      </c>
      <c r="D52" s="12">
        <v>175.5</v>
      </c>
      <c r="E52" s="12">
        <v>162.52000000000001</v>
      </c>
    </row>
    <row r="53" spans="1:5" x14ac:dyDescent="0.3">
      <c r="A53" s="11">
        <v>12.25</v>
      </c>
      <c r="B53" s="12">
        <v>158.88</v>
      </c>
      <c r="C53" s="12">
        <v>249.21</v>
      </c>
      <c r="D53" s="12">
        <v>174.8</v>
      </c>
      <c r="E53" s="12">
        <v>158.88</v>
      </c>
    </row>
    <row r="54" spans="1:5" x14ac:dyDescent="0.3">
      <c r="A54" s="11">
        <v>12.5</v>
      </c>
      <c r="B54" s="12">
        <v>155.13999999999999</v>
      </c>
      <c r="C54" s="12">
        <v>248.64</v>
      </c>
      <c r="D54" s="12">
        <v>173.5</v>
      </c>
      <c r="E54" s="12">
        <v>155.13999999999999</v>
      </c>
    </row>
    <row r="55" spans="1:5" x14ac:dyDescent="0.3">
      <c r="A55" s="11">
        <v>12.75</v>
      </c>
      <c r="B55" s="12">
        <v>151.33000000000001</v>
      </c>
      <c r="C55" s="12">
        <v>247.17</v>
      </c>
      <c r="D55" s="12">
        <v>171.7</v>
      </c>
      <c r="E55" s="12">
        <v>151.33000000000001</v>
      </c>
    </row>
    <row r="56" spans="1:5" x14ac:dyDescent="0.3">
      <c r="A56" s="11">
        <v>13</v>
      </c>
      <c r="B56" s="12">
        <v>147.47999999999999</v>
      </c>
      <c r="C56" s="12">
        <v>244.92</v>
      </c>
      <c r="D56" s="12">
        <v>169.48</v>
      </c>
      <c r="E56" s="12">
        <v>147.47999999999999</v>
      </c>
    </row>
    <row r="57" spans="1:5" x14ac:dyDescent="0.3">
      <c r="A57" s="11">
        <v>13.25</v>
      </c>
      <c r="B57" s="12">
        <v>143.6</v>
      </c>
      <c r="C57" s="12">
        <v>242.02</v>
      </c>
      <c r="D57" s="12">
        <v>166.9</v>
      </c>
      <c r="E57" s="12">
        <v>143.6</v>
      </c>
    </row>
    <row r="58" spans="1:5" x14ac:dyDescent="0.3">
      <c r="A58" s="11">
        <v>13.5</v>
      </c>
      <c r="B58" s="12">
        <v>139.72999999999999</v>
      </c>
      <c r="C58" s="12">
        <v>238.59</v>
      </c>
      <c r="D58" s="12">
        <v>164.04</v>
      </c>
      <c r="E58" s="12">
        <v>139.72999999999999</v>
      </c>
    </row>
    <row r="59" spans="1:5" x14ac:dyDescent="0.3">
      <c r="A59" s="11">
        <v>13.75</v>
      </c>
      <c r="B59" s="12">
        <v>135.86000000000001</v>
      </c>
      <c r="C59" s="12">
        <v>234.7</v>
      </c>
      <c r="D59" s="12">
        <v>160.94999999999999</v>
      </c>
      <c r="E59" s="12">
        <v>135.86000000000001</v>
      </c>
    </row>
    <row r="60" spans="1:5" x14ac:dyDescent="0.3">
      <c r="A60" s="11">
        <v>14</v>
      </c>
      <c r="B60" s="12">
        <v>132.02000000000001</v>
      </c>
      <c r="C60" s="12">
        <v>230.45</v>
      </c>
      <c r="D60" s="12">
        <v>157.66</v>
      </c>
      <c r="E60" s="12">
        <v>132.02000000000001</v>
      </c>
    </row>
    <row r="61" spans="1:5" x14ac:dyDescent="0.3">
      <c r="A61" s="11">
        <v>14.25</v>
      </c>
      <c r="B61" s="12">
        <v>150.63999999999999</v>
      </c>
      <c r="C61" s="12">
        <v>225.9</v>
      </c>
      <c r="D61" s="12">
        <v>165.44</v>
      </c>
      <c r="E61" s="12">
        <v>150.63999999999999</v>
      </c>
    </row>
    <row r="62" spans="1:5" x14ac:dyDescent="0.3">
      <c r="A62" s="11">
        <v>14.5</v>
      </c>
      <c r="B62" s="12">
        <v>165.91</v>
      </c>
      <c r="C62" s="12">
        <v>221.12</v>
      </c>
      <c r="D62" s="12">
        <v>171.41</v>
      </c>
      <c r="E62" s="12">
        <v>165.91</v>
      </c>
    </row>
    <row r="63" spans="1:5" x14ac:dyDescent="0.3">
      <c r="A63" s="11">
        <v>14.75</v>
      </c>
      <c r="B63" s="12">
        <v>178.26</v>
      </c>
      <c r="C63" s="12">
        <v>216.16</v>
      </c>
      <c r="D63" s="12">
        <v>175.81</v>
      </c>
      <c r="E63" s="12">
        <v>178.26</v>
      </c>
    </row>
    <row r="64" spans="1:5" x14ac:dyDescent="0.3">
      <c r="A64" s="11">
        <v>15</v>
      </c>
      <c r="B64" s="12">
        <v>188.07</v>
      </c>
      <c r="C64" s="12">
        <v>211.07</v>
      </c>
      <c r="D64" s="12">
        <v>178.86</v>
      </c>
      <c r="E64" s="12">
        <v>188.07</v>
      </c>
    </row>
    <row r="65" spans="1:5" x14ac:dyDescent="0.3">
      <c r="A65" s="11">
        <v>15.25</v>
      </c>
      <c r="B65" s="12">
        <v>195.69</v>
      </c>
      <c r="C65" s="12">
        <v>228.3</v>
      </c>
      <c r="D65" s="12">
        <v>180.75</v>
      </c>
      <c r="E65" s="12">
        <v>195.69</v>
      </c>
    </row>
    <row r="66" spans="1:5" x14ac:dyDescent="0.3">
      <c r="A66" s="11">
        <v>15.5</v>
      </c>
      <c r="B66" s="12">
        <v>201.39</v>
      </c>
      <c r="C66" s="12">
        <v>242.07</v>
      </c>
      <c r="D66" s="12">
        <v>181.63</v>
      </c>
      <c r="E66" s="12">
        <v>201.39</v>
      </c>
    </row>
    <row r="67" spans="1:5" x14ac:dyDescent="0.3">
      <c r="A67" s="11">
        <v>15.75</v>
      </c>
      <c r="B67" s="12">
        <v>205.45</v>
      </c>
      <c r="C67" s="12">
        <v>252.85</v>
      </c>
      <c r="D67" s="12">
        <v>181.65</v>
      </c>
      <c r="E67" s="12">
        <v>205.45</v>
      </c>
    </row>
    <row r="68" spans="1:5" x14ac:dyDescent="0.3">
      <c r="A68" s="11">
        <v>16</v>
      </c>
      <c r="B68" s="12">
        <v>208.09</v>
      </c>
      <c r="C68" s="12">
        <v>261.02</v>
      </c>
      <c r="D68" s="12">
        <v>180.95</v>
      </c>
      <c r="E68" s="12">
        <v>208.09</v>
      </c>
    </row>
    <row r="69" spans="1:5" x14ac:dyDescent="0.3">
      <c r="A69" s="11">
        <v>16.25</v>
      </c>
      <c r="B69" s="12">
        <v>209.5</v>
      </c>
      <c r="C69" s="12">
        <v>266.94</v>
      </c>
      <c r="D69" s="12">
        <v>179.62</v>
      </c>
      <c r="E69" s="12">
        <v>209.5</v>
      </c>
    </row>
    <row r="70" spans="1:5" x14ac:dyDescent="0.3">
      <c r="A70" s="11">
        <v>16.5</v>
      </c>
      <c r="B70" s="12">
        <v>209.87</v>
      </c>
      <c r="C70" s="12">
        <v>270.92</v>
      </c>
      <c r="D70" s="12">
        <v>177.77</v>
      </c>
      <c r="E70" s="12">
        <v>209.87</v>
      </c>
    </row>
    <row r="71" spans="1:5" x14ac:dyDescent="0.3">
      <c r="A71" s="11">
        <v>16.75</v>
      </c>
      <c r="B71" s="12">
        <v>209.34</v>
      </c>
      <c r="C71" s="12">
        <v>273.23</v>
      </c>
      <c r="D71" s="12">
        <v>175.48</v>
      </c>
      <c r="E71" s="12">
        <v>209.34</v>
      </c>
    </row>
    <row r="72" spans="1:5" x14ac:dyDescent="0.3">
      <c r="A72" s="11">
        <v>17</v>
      </c>
      <c r="B72" s="12">
        <v>208.06</v>
      </c>
      <c r="C72" s="12">
        <v>274.10000000000002</v>
      </c>
      <c r="D72" s="12">
        <v>172.83</v>
      </c>
      <c r="E72" s="12">
        <v>208.06</v>
      </c>
    </row>
    <row r="73" spans="1:5" x14ac:dyDescent="0.3">
      <c r="A73" s="11">
        <v>17.25</v>
      </c>
      <c r="B73" s="12">
        <v>206.13</v>
      </c>
      <c r="C73" s="12">
        <v>273.75</v>
      </c>
      <c r="D73" s="12">
        <v>169.88</v>
      </c>
      <c r="E73" s="12">
        <v>206.13</v>
      </c>
    </row>
    <row r="74" spans="1:5" x14ac:dyDescent="0.3">
      <c r="A74" s="11">
        <v>17.5</v>
      </c>
      <c r="B74" s="12">
        <v>203.66</v>
      </c>
      <c r="C74" s="12">
        <v>272.35000000000002</v>
      </c>
      <c r="D74" s="12">
        <v>166.68</v>
      </c>
      <c r="E74" s="12">
        <v>203.66</v>
      </c>
    </row>
    <row r="75" spans="1:5" x14ac:dyDescent="0.3">
      <c r="A75" s="11">
        <v>17.75</v>
      </c>
      <c r="B75" s="12">
        <v>200.74</v>
      </c>
      <c r="C75" s="12">
        <v>270.07</v>
      </c>
      <c r="D75" s="12">
        <v>163.29</v>
      </c>
      <c r="E75" s="12">
        <v>200.74</v>
      </c>
    </row>
    <row r="76" spans="1:5" x14ac:dyDescent="0.3">
      <c r="A76" s="11">
        <v>18</v>
      </c>
      <c r="B76" s="12">
        <v>197.44</v>
      </c>
      <c r="C76" s="12">
        <v>267.04000000000002</v>
      </c>
      <c r="D76" s="12">
        <v>159.74</v>
      </c>
      <c r="E76" s="12">
        <v>197.44</v>
      </c>
    </row>
    <row r="77" spans="1:5" x14ac:dyDescent="0.3">
      <c r="A77" s="11">
        <v>18.25</v>
      </c>
      <c r="B77" s="12">
        <v>193.85</v>
      </c>
      <c r="C77" s="12">
        <v>263.39999999999998</v>
      </c>
      <c r="D77" s="12">
        <v>167.29</v>
      </c>
      <c r="E77" s="12">
        <v>193.85</v>
      </c>
    </row>
    <row r="78" spans="1:5" x14ac:dyDescent="0.3">
      <c r="A78" s="11">
        <v>18.5</v>
      </c>
      <c r="B78" s="12">
        <v>190</v>
      </c>
      <c r="C78" s="12">
        <v>259.23</v>
      </c>
      <c r="D78" s="12">
        <v>173.05</v>
      </c>
      <c r="E78" s="12">
        <v>190</v>
      </c>
    </row>
    <row r="79" spans="1:5" x14ac:dyDescent="0.3">
      <c r="A79" s="11">
        <v>18.75</v>
      </c>
      <c r="B79" s="12">
        <v>185.97</v>
      </c>
      <c r="C79" s="12">
        <v>254.65</v>
      </c>
      <c r="D79" s="12">
        <v>177.27</v>
      </c>
      <c r="E79" s="12">
        <v>185.97</v>
      </c>
    </row>
    <row r="80" spans="1:5" x14ac:dyDescent="0.3">
      <c r="A80" s="11">
        <v>19</v>
      </c>
      <c r="B80" s="12">
        <v>181.78</v>
      </c>
      <c r="C80" s="12">
        <v>249.72</v>
      </c>
      <c r="D80" s="12">
        <v>180.16</v>
      </c>
      <c r="E80" s="12">
        <v>181.78</v>
      </c>
    </row>
    <row r="81" spans="1:5" x14ac:dyDescent="0.3">
      <c r="A81" s="11">
        <v>19.25</v>
      </c>
      <c r="B81" s="12">
        <v>177.49</v>
      </c>
      <c r="C81" s="12">
        <v>244.52</v>
      </c>
      <c r="D81" s="12">
        <v>181.9</v>
      </c>
      <c r="E81" s="12">
        <v>177.49</v>
      </c>
    </row>
    <row r="82" spans="1:5" x14ac:dyDescent="0.3">
      <c r="A82" s="11">
        <v>19.5</v>
      </c>
      <c r="B82" s="12">
        <v>173.12</v>
      </c>
      <c r="C82" s="12">
        <v>239.1</v>
      </c>
      <c r="D82" s="12">
        <v>182.66</v>
      </c>
      <c r="E82" s="12">
        <v>173.12</v>
      </c>
    </row>
    <row r="83" spans="1:5" x14ac:dyDescent="0.3">
      <c r="A83" s="11">
        <v>19.75</v>
      </c>
      <c r="B83" s="12">
        <v>168.7</v>
      </c>
      <c r="C83" s="12">
        <v>233.53</v>
      </c>
      <c r="D83" s="12">
        <v>182.57</v>
      </c>
      <c r="E83" s="12">
        <v>168.7</v>
      </c>
    </row>
    <row r="84" spans="1:5" x14ac:dyDescent="0.3">
      <c r="A84" s="11">
        <v>20</v>
      </c>
      <c r="B84" s="12">
        <v>164.26</v>
      </c>
      <c r="C84" s="12">
        <v>227.85</v>
      </c>
      <c r="D84" s="12">
        <v>181.77</v>
      </c>
      <c r="E84" s="12">
        <v>164.26</v>
      </c>
    </row>
    <row r="85" spans="1:5" x14ac:dyDescent="0.3">
      <c r="A85" s="11">
        <v>20.25</v>
      </c>
      <c r="B85" s="12">
        <v>159.81</v>
      </c>
      <c r="C85" s="12">
        <v>244.51</v>
      </c>
      <c r="D85" s="12">
        <v>180.35</v>
      </c>
      <c r="E85" s="12">
        <v>182.23</v>
      </c>
    </row>
    <row r="86" spans="1:5" x14ac:dyDescent="0.3">
      <c r="A86" s="11">
        <v>20.5</v>
      </c>
      <c r="B86" s="12">
        <v>155.38</v>
      </c>
      <c r="C86" s="12">
        <v>257.73</v>
      </c>
      <c r="D86" s="12">
        <v>178.42</v>
      </c>
      <c r="E86" s="12">
        <v>196.82</v>
      </c>
    </row>
    <row r="87" spans="1:5" x14ac:dyDescent="0.3">
      <c r="A87" s="11">
        <v>20.75</v>
      </c>
      <c r="B87" s="12">
        <v>150.99</v>
      </c>
      <c r="C87" s="12">
        <v>267.97000000000003</v>
      </c>
      <c r="D87" s="12">
        <v>176.07</v>
      </c>
      <c r="E87" s="12">
        <v>208.47</v>
      </c>
    </row>
    <row r="88" spans="1:5" x14ac:dyDescent="0.3">
      <c r="A88" s="11">
        <v>21</v>
      </c>
      <c r="B88" s="12">
        <v>146.63</v>
      </c>
      <c r="C88" s="12">
        <v>275.63</v>
      </c>
      <c r="D88" s="12">
        <v>173.35</v>
      </c>
      <c r="E88" s="12">
        <v>217.57</v>
      </c>
    </row>
    <row r="89" spans="1:5" x14ac:dyDescent="0.3">
      <c r="A89" s="11">
        <v>21.25</v>
      </c>
      <c r="B89" s="12">
        <v>164.75</v>
      </c>
      <c r="C89" s="12">
        <v>281.05</v>
      </c>
      <c r="D89" s="12">
        <v>181.56</v>
      </c>
      <c r="E89" s="12">
        <v>224.45</v>
      </c>
    </row>
    <row r="90" spans="1:5" x14ac:dyDescent="0.3">
      <c r="A90" s="11">
        <v>21.5</v>
      </c>
      <c r="B90" s="12">
        <v>179.54</v>
      </c>
      <c r="C90" s="12">
        <v>284.55</v>
      </c>
      <c r="D90" s="12">
        <v>187.82</v>
      </c>
      <c r="E90" s="12">
        <v>229.42</v>
      </c>
    </row>
    <row r="91" spans="1:5" x14ac:dyDescent="0.3">
      <c r="A91" s="11">
        <v>21.75</v>
      </c>
      <c r="B91" s="12">
        <v>191.43</v>
      </c>
      <c r="C91" s="12">
        <v>286.39</v>
      </c>
      <c r="D91" s="12">
        <v>192.41</v>
      </c>
      <c r="E91" s="12">
        <v>232.74</v>
      </c>
    </row>
    <row r="92" spans="1:5" x14ac:dyDescent="0.3">
      <c r="A92" s="11">
        <v>22</v>
      </c>
      <c r="B92" s="12">
        <v>200.79</v>
      </c>
      <c r="C92" s="12">
        <v>286.82</v>
      </c>
      <c r="D92" s="12">
        <v>195.55</v>
      </c>
      <c r="E92" s="12">
        <v>234.63</v>
      </c>
    </row>
    <row r="93" spans="1:5" x14ac:dyDescent="0.3">
      <c r="A93" s="11">
        <v>22.25</v>
      </c>
      <c r="B93" s="12">
        <v>207.97</v>
      </c>
      <c r="C93" s="12">
        <v>286.02999999999997</v>
      </c>
      <c r="D93" s="12">
        <v>197.45</v>
      </c>
      <c r="E93" s="12">
        <v>235.31</v>
      </c>
    </row>
    <row r="94" spans="1:5" x14ac:dyDescent="0.3">
      <c r="A94" s="11">
        <v>22.5</v>
      </c>
      <c r="B94" s="12">
        <v>213.26</v>
      </c>
      <c r="C94" s="12">
        <v>284.22000000000003</v>
      </c>
      <c r="D94" s="12">
        <v>198.27</v>
      </c>
      <c r="E94" s="12">
        <v>234.95</v>
      </c>
    </row>
    <row r="95" spans="1:5" x14ac:dyDescent="0.3">
      <c r="A95" s="11">
        <v>22.75</v>
      </c>
      <c r="B95" s="12">
        <v>216.92</v>
      </c>
      <c r="C95" s="12">
        <v>281.52999999999997</v>
      </c>
      <c r="D95" s="12">
        <v>198.18</v>
      </c>
      <c r="E95" s="12">
        <v>233.7</v>
      </c>
    </row>
    <row r="96" spans="1:5" x14ac:dyDescent="0.3">
      <c r="A96" s="11">
        <v>23</v>
      </c>
      <c r="B96" s="12">
        <v>219.16</v>
      </c>
      <c r="C96" s="12">
        <v>278.12</v>
      </c>
      <c r="D96" s="12">
        <v>197.31</v>
      </c>
      <c r="E96" s="12">
        <v>231.7</v>
      </c>
    </row>
    <row r="97" spans="1:5" x14ac:dyDescent="0.3">
      <c r="A97" s="11">
        <v>23.25</v>
      </c>
      <c r="B97" s="12">
        <v>220.2</v>
      </c>
      <c r="C97" s="12">
        <v>274.08999999999997</v>
      </c>
      <c r="D97" s="12">
        <v>195.78</v>
      </c>
      <c r="E97" s="12">
        <v>229.06</v>
      </c>
    </row>
    <row r="98" spans="1:5" x14ac:dyDescent="0.3">
      <c r="A98" s="11">
        <v>23.5</v>
      </c>
      <c r="B98" s="12">
        <v>220.21</v>
      </c>
      <c r="C98" s="12">
        <v>269.57</v>
      </c>
      <c r="D98" s="12">
        <v>193.69</v>
      </c>
      <c r="E98" s="12">
        <v>225.9</v>
      </c>
    </row>
    <row r="99" spans="1:5" x14ac:dyDescent="0.3">
      <c r="A99" s="11">
        <v>23.75</v>
      </c>
      <c r="B99" s="12">
        <v>219.33</v>
      </c>
      <c r="C99" s="12">
        <v>264.63</v>
      </c>
      <c r="D99" s="12">
        <v>191.13</v>
      </c>
      <c r="E99" s="12">
        <v>222.3</v>
      </c>
    </row>
    <row r="100" spans="1:5" x14ac:dyDescent="0.3">
      <c r="A100" s="11">
        <v>24</v>
      </c>
      <c r="B100" s="12">
        <v>217.7</v>
      </c>
      <c r="C100" s="12">
        <v>259.36</v>
      </c>
      <c r="D100" s="12">
        <v>188.19</v>
      </c>
      <c r="E100" s="12">
        <v>218.34</v>
      </c>
    </row>
    <row r="101" spans="1:5" x14ac:dyDescent="0.3">
      <c r="A101" s="11">
        <v>24.25</v>
      </c>
      <c r="B101" s="12">
        <v>215.44</v>
      </c>
      <c r="C101" s="12">
        <v>253.83</v>
      </c>
      <c r="D101" s="12">
        <v>196.13</v>
      </c>
      <c r="E101" s="12">
        <v>214.09</v>
      </c>
    </row>
    <row r="102" spans="1:5" x14ac:dyDescent="0.3">
      <c r="A102" s="11">
        <v>24.5</v>
      </c>
      <c r="B102" s="12">
        <v>212.66</v>
      </c>
      <c r="C102" s="12">
        <v>248.1</v>
      </c>
      <c r="D102" s="12">
        <v>202.12</v>
      </c>
      <c r="E102" s="12">
        <v>209.62</v>
      </c>
    </row>
    <row r="103" spans="1:5" x14ac:dyDescent="0.3">
      <c r="A103" s="11">
        <v>24.75</v>
      </c>
      <c r="B103" s="12">
        <v>209.43</v>
      </c>
      <c r="C103" s="12">
        <v>242.22</v>
      </c>
      <c r="D103" s="12">
        <v>206.42</v>
      </c>
      <c r="E103" s="12">
        <v>204.96</v>
      </c>
    </row>
    <row r="104" spans="1:5" x14ac:dyDescent="0.3">
      <c r="A104" s="11">
        <v>25</v>
      </c>
      <c r="B104" s="12">
        <v>205.84</v>
      </c>
      <c r="C104" s="12">
        <v>236.24</v>
      </c>
      <c r="D104" s="12">
        <v>209.25</v>
      </c>
      <c r="E104" s="12">
        <v>200.17</v>
      </c>
    </row>
    <row r="105" spans="1:5" x14ac:dyDescent="0.3">
      <c r="A105" s="11">
        <v>25.25</v>
      </c>
      <c r="B105" s="12">
        <v>201.96</v>
      </c>
      <c r="C105" s="12">
        <v>252.62</v>
      </c>
      <c r="D105" s="12">
        <v>210.83</v>
      </c>
      <c r="E105" s="12">
        <v>195.29</v>
      </c>
    </row>
    <row r="106" spans="1:5" x14ac:dyDescent="0.3">
      <c r="A106" s="11">
        <v>25.5</v>
      </c>
      <c r="B106" s="12">
        <v>197.84</v>
      </c>
      <c r="C106" s="12">
        <v>265.56</v>
      </c>
      <c r="D106" s="12">
        <v>211.34</v>
      </c>
      <c r="E106" s="12">
        <v>190.34</v>
      </c>
    </row>
    <row r="107" spans="1:5" x14ac:dyDescent="0.3">
      <c r="A107" s="11">
        <v>25.75</v>
      </c>
      <c r="B107" s="12">
        <v>193.53</v>
      </c>
      <c r="C107" s="12">
        <v>275.54000000000002</v>
      </c>
      <c r="D107" s="12">
        <v>210.92</v>
      </c>
      <c r="E107" s="12">
        <v>185.36</v>
      </c>
    </row>
    <row r="108" spans="1:5" x14ac:dyDescent="0.3">
      <c r="A108" s="11">
        <v>26</v>
      </c>
      <c r="B108" s="12">
        <v>189.09</v>
      </c>
      <c r="C108" s="12">
        <v>282.94</v>
      </c>
      <c r="D108" s="12">
        <v>209.72</v>
      </c>
      <c r="E108" s="12">
        <v>180.38</v>
      </c>
    </row>
    <row r="109" spans="1:5" x14ac:dyDescent="0.3">
      <c r="A109" s="11">
        <v>26.25</v>
      </c>
      <c r="B109" s="12">
        <v>184.55</v>
      </c>
      <c r="C109" s="12">
        <v>288.11</v>
      </c>
      <c r="D109" s="12">
        <v>207.86</v>
      </c>
      <c r="E109" s="12">
        <v>197.83</v>
      </c>
    </row>
    <row r="110" spans="1:5" x14ac:dyDescent="0.3">
      <c r="A110" s="11">
        <v>26.5</v>
      </c>
      <c r="B110" s="12">
        <v>179.94</v>
      </c>
      <c r="C110" s="12">
        <v>291.37</v>
      </c>
      <c r="D110" s="12">
        <v>205.44</v>
      </c>
      <c r="E110" s="12">
        <v>211.91</v>
      </c>
    </row>
    <row r="111" spans="1:5" x14ac:dyDescent="0.3">
      <c r="A111" s="11">
        <v>26.75</v>
      </c>
      <c r="B111" s="12">
        <v>175.28</v>
      </c>
      <c r="C111" s="12">
        <v>292.98</v>
      </c>
      <c r="D111" s="12">
        <v>202.55</v>
      </c>
      <c r="E111" s="12">
        <v>223.06</v>
      </c>
    </row>
    <row r="112" spans="1:5" x14ac:dyDescent="0.3">
      <c r="A112" s="11">
        <v>27</v>
      </c>
      <c r="B112" s="12">
        <v>170.62</v>
      </c>
      <c r="C112" s="12">
        <v>293.18</v>
      </c>
      <c r="D112" s="12">
        <v>199.28</v>
      </c>
      <c r="E112" s="12">
        <v>231.68</v>
      </c>
    </row>
    <row r="113" spans="1:5" x14ac:dyDescent="0.3">
      <c r="A113" s="11">
        <v>27.25</v>
      </c>
      <c r="B113" s="12">
        <v>165.96</v>
      </c>
      <c r="C113" s="12">
        <v>292.18</v>
      </c>
      <c r="D113" s="12">
        <v>195.7</v>
      </c>
      <c r="E113" s="12">
        <v>238.09</v>
      </c>
    </row>
    <row r="114" spans="1:5" x14ac:dyDescent="0.3">
      <c r="A114" s="11">
        <v>27.5</v>
      </c>
      <c r="B114" s="12">
        <v>161.32</v>
      </c>
      <c r="C114" s="12">
        <v>290.16000000000003</v>
      </c>
      <c r="D114" s="12">
        <v>191.86</v>
      </c>
      <c r="E114" s="12">
        <v>242.61</v>
      </c>
    </row>
    <row r="115" spans="1:5" x14ac:dyDescent="0.3">
      <c r="A115" s="11">
        <v>27.75</v>
      </c>
      <c r="B115" s="12">
        <v>156.72</v>
      </c>
      <c r="C115" s="12">
        <v>287.27</v>
      </c>
      <c r="D115" s="12">
        <v>187.82</v>
      </c>
      <c r="E115" s="12">
        <v>245.49</v>
      </c>
    </row>
    <row r="116" spans="1:5" x14ac:dyDescent="0.3">
      <c r="A116" s="11">
        <v>28</v>
      </c>
      <c r="B116" s="12">
        <v>152.16999999999999</v>
      </c>
      <c r="C116" s="12">
        <v>283.66000000000003</v>
      </c>
      <c r="D116" s="12">
        <v>183.62</v>
      </c>
      <c r="E116" s="12">
        <v>246.96</v>
      </c>
    </row>
    <row r="117" spans="1:5" x14ac:dyDescent="0.3">
      <c r="A117" s="11">
        <v>28.25</v>
      </c>
      <c r="B117" s="12">
        <v>170.1</v>
      </c>
      <c r="C117" s="12">
        <v>279.44</v>
      </c>
      <c r="D117" s="12">
        <v>190.52</v>
      </c>
      <c r="E117" s="12">
        <v>247.23</v>
      </c>
    </row>
    <row r="118" spans="1:5" x14ac:dyDescent="0.3">
      <c r="A118" s="11">
        <v>28.5</v>
      </c>
      <c r="B118" s="12">
        <v>184.71</v>
      </c>
      <c r="C118" s="12">
        <v>274.73</v>
      </c>
      <c r="D118" s="12">
        <v>195.63</v>
      </c>
      <c r="E118" s="12">
        <v>246.46</v>
      </c>
    </row>
    <row r="119" spans="1:5" x14ac:dyDescent="0.3">
      <c r="A119" s="11">
        <v>28.75</v>
      </c>
      <c r="B119" s="12">
        <v>196.42</v>
      </c>
      <c r="C119" s="12">
        <v>269.62</v>
      </c>
      <c r="D119" s="12">
        <v>199.21</v>
      </c>
      <c r="E119" s="12">
        <v>244.83</v>
      </c>
    </row>
    <row r="120" spans="1:5" x14ac:dyDescent="0.3">
      <c r="A120" s="11">
        <v>29</v>
      </c>
      <c r="B120" s="12">
        <v>205.62</v>
      </c>
      <c r="C120" s="12">
        <v>264.18</v>
      </c>
      <c r="D120" s="12">
        <v>201.47</v>
      </c>
      <c r="E120" s="12">
        <v>242.45</v>
      </c>
    </row>
    <row r="121" spans="1:5" x14ac:dyDescent="0.3">
      <c r="A121" s="11">
        <v>29.25</v>
      </c>
      <c r="B121" s="12">
        <v>212.63</v>
      </c>
      <c r="C121" s="12">
        <v>258.49</v>
      </c>
      <c r="D121" s="12">
        <v>202.58</v>
      </c>
      <c r="E121" s="12">
        <v>239.46</v>
      </c>
    </row>
    <row r="122" spans="1:5" x14ac:dyDescent="0.3">
      <c r="A122" s="11">
        <v>29.5</v>
      </c>
      <c r="B122" s="12">
        <v>217.76</v>
      </c>
      <c r="C122" s="12">
        <v>252.6</v>
      </c>
      <c r="D122" s="12">
        <v>202.72</v>
      </c>
      <c r="E122" s="12">
        <v>235.95</v>
      </c>
    </row>
    <row r="123" spans="1:5" x14ac:dyDescent="0.3">
      <c r="A123" s="11">
        <v>29.75</v>
      </c>
      <c r="B123" s="12">
        <v>221.26</v>
      </c>
      <c r="C123" s="12">
        <v>246.57</v>
      </c>
      <c r="D123" s="12">
        <v>202.03</v>
      </c>
      <c r="E123" s="12">
        <v>232.01</v>
      </c>
    </row>
    <row r="124" spans="1:5" x14ac:dyDescent="0.3">
      <c r="A124" s="11">
        <v>30</v>
      </c>
      <c r="B124" s="12">
        <v>223.36</v>
      </c>
      <c r="C124" s="12">
        <v>240.44</v>
      </c>
      <c r="D124" s="12">
        <v>200.63</v>
      </c>
      <c r="E124" s="12">
        <v>227.72</v>
      </c>
    </row>
    <row r="125" spans="1:5" x14ac:dyDescent="0.3">
      <c r="A125" s="11">
        <v>30.25</v>
      </c>
      <c r="B125" s="12">
        <v>224.26</v>
      </c>
      <c r="C125" s="12">
        <v>256.67</v>
      </c>
      <c r="D125" s="12">
        <v>198.63</v>
      </c>
      <c r="E125" s="12">
        <v>223.16</v>
      </c>
    </row>
    <row r="126" spans="1:5" x14ac:dyDescent="0.3">
      <c r="A126" s="11">
        <v>30.5</v>
      </c>
      <c r="B126" s="12">
        <v>224.12</v>
      </c>
      <c r="C126" s="12">
        <v>269.48</v>
      </c>
      <c r="D126" s="12">
        <v>196.13</v>
      </c>
      <c r="E126" s="12">
        <v>218.37</v>
      </c>
    </row>
    <row r="127" spans="1:5" x14ac:dyDescent="0.3">
      <c r="A127" s="11">
        <v>30.75</v>
      </c>
      <c r="B127" s="12">
        <v>223.11</v>
      </c>
      <c r="C127" s="12">
        <v>279.32</v>
      </c>
      <c r="D127" s="12">
        <v>193.22</v>
      </c>
      <c r="E127" s="12">
        <v>213.42</v>
      </c>
    </row>
    <row r="128" spans="1:5" x14ac:dyDescent="0.3">
      <c r="A128" s="11">
        <v>31</v>
      </c>
      <c r="B128" s="12">
        <v>221.35</v>
      </c>
      <c r="C128" s="12">
        <v>286.58999999999997</v>
      </c>
      <c r="D128" s="12">
        <v>189.96</v>
      </c>
      <c r="E128" s="12">
        <v>208.35</v>
      </c>
    </row>
    <row r="129" spans="1:5" x14ac:dyDescent="0.3">
      <c r="A129" s="11">
        <v>31.25</v>
      </c>
      <c r="B129" s="12">
        <v>218.97</v>
      </c>
      <c r="C129" s="12">
        <v>291.64</v>
      </c>
      <c r="D129" s="12">
        <v>186.43</v>
      </c>
      <c r="E129" s="12">
        <v>225.6</v>
      </c>
    </row>
    <row r="130" spans="1:5" x14ac:dyDescent="0.3">
      <c r="A130" s="11">
        <v>31.5</v>
      </c>
      <c r="B130" s="12">
        <v>216.06</v>
      </c>
      <c r="C130" s="12">
        <v>294.77999999999997</v>
      </c>
      <c r="D130" s="12">
        <v>182.67</v>
      </c>
      <c r="E130" s="12">
        <v>239.41</v>
      </c>
    </row>
    <row r="131" spans="1:5" x14ac:dyDescent="0.3">
      <c r="A131" s="11">
        <v>31.75</v>
      </c>
      <c r="B131" s="12">
        <v>212.72</v>
      </c>
      <c r="C131" s="12">
        <v>296.27</v>
      </c>
      <c r="D131" s="12">
        <v>178.73</v>
      </c>
      <c r="E131" s="12">
        <v>250.22</v>
      </c>
    </row>
    <row r="132" spans="1:5" x14ac:dyDescent="0.3">
      <c r="A132" s="11">
        <v>32</v>
      </c>
      <c r="B132" s="12">
        <v>209.02</v>
      </c>
      <c r="C132" s="12">
        <v>296.36</v>
      </c>
      <c r="D132" s="12">
        <v>174.66</v>
      </c>
      <c r="E132" s="12">
        <v>258.44</v>
      </c>
    </row>
    <row r="133" spans="1:5" x14ac:dyDescent="0.3">
      <c r="A133" s="11">
        <v>32.25</v>
      </c>
      <c r="B133" s="12">
        <v>205.03</v>
      </c>
      <c r="C133" s="12">
        <v>295.25</v>
      </c>
      <c r="D133" s="12">
        <v>181.7</v>
      </c>
      <c r="E133" s="12">
        <v>264.39999999999998</v>
      </c>
    </row>
    <row r="134" spans="1:5" x14ac:dyDescent="0.3">
      <c r="A134" s="11">
        <v>32.5</v>
      </c>
      <c r="B134" s="12">
        <v>200.81</v>
      </c>
      <c r="C134" s="12">
        <v>293.12</v>
      </c>
      <c r="D134" s="12">
        <v>186.97</v>
      </c>
      <c r="E134" s="12">
        <v>268.43</v>
      </c>
    </row>
    <row r="135" spans="1:5" x14ac:dyDescent="0.3">
      <c r="A135" s="11">
        <v>32.75</v>
      </c>
      <c r="B135" s="12">
        <v>196.4</v>
      </c>
      <c r="C135" s="12">
        <v>290.14</v>
      </c>
      <c r="D135" s="12">
        <v>190.72</v>
      </c>
      <c r="E135" s="12">
        <v>270.79000000000002</v>
      </c>
    </row>
    <row r="136" spans="1:5" x14ac:dyDescent="0.3">
      <c r="A136" s="11">
        <v>33</v>
      </c>
      <c r="B136" s="12">
        <v>191.86</v>
      </c>
      <c r="C136" s="12">
        <v>286.43</v>
      </c>
      <c r="D136" s="12">
        <v>193.15</v>
      </c>
      <c r="E136" s="12">
        <v>271.72000000000003</v>
      </c>
    </row>
    <row r="137" spans="1:5" x14ac:dyDescent="0.3">
      <c r="A137" s="11">
        <v>33.25</v>
      </c>
      <c r="B137" s="12">
        <v>187.22</v>
      </c>
      <c r="C137" s="12">
        <v>282.12</v>
      </c>
      <c r="D137" s="12">
        <v>194.45</v>
      </c>
      <c r="E137" s="12">
        <v>271.42</v>
      </c>
    </row>
    <row r="138" spans="1:5" x14ac:dyDescent="0.3">
      <c r="A138" s="11">
        <v>33.5</v>
      </c>
      <c r="B138" s="12">
        <v>182.52</v>
      </c>
      <c r="C138" s="12">
        <v>277.32</v>
      </c>
      <c r="D138" s="12">
        <v>194.77</v>
      </c>
      <c r="E138" s="12">
        <v>270.08</v>
      </c>
    </row>
    <row r="139" spans="1:5" x14ac:dyDescent="0.3">
      <c r="A139" s="11">
        <v>33.75</v>
      </c>
      <c r="B139" s="12">
        <v>177.78</v>
      </c>
      <c r="C139" s="12">
        <v>272.12</v>
      </c>
      <c r="D139" s="12">
        <v>194.28</v>
      </c>
      <c r="E139" s="12">
        <v>267.86</v>
      </c>
    </row>
    <row r="140" spans="1:5" x14ac:dyDescent="0.3">
      <c r="A140" s="11">
        <v>34</v>
      </c>
      <c r="B140" s="12">
        <v>173.03</v>
      </c>
      <c r="C140" s="12">
        <v>266.58999999999997</v>
      </c>
      <c r="D140" s="12">
        <v>193.07</v>
      </c>
      <c r="E140" s="12">
        <v>264.89999999999998</v>
      </c>
    </row>
    <row r="141" spans="1:5" x14ac:dyDescent="0.3">
      <c r="A141" s="11">
        <v>34.25</v>
      </c>
      <c r="B141" s="12">
        <v>168.29</v>
      </c>
      <c r="C141" s="12">
        <v>260.82</v>
      </c>
      <c r="D141" s="12">
        <v>191.27</v>
      </c>
      <c r="E141" s="12">
        <v>261.31</v>
      </c>
    </row>
    <row r="142" spans="1:5" x14ac:dyDescent="0.3">
      <c r="A142" s="11">
        <v>34.5</v>
      </c>
      <c r="B142" s="12">
        <v>163.57</v>
      </c>
      <c r="C142" s="12">
        <v>254.85</v>
      </c>
      <c r="D142" s="12">
        <v>188.97</v>
      </c>
      <c r="E142" s="12">
        <v>257.2</v>
      </c>
    </row>
    <row r="143" spans="1:5" x14ac:dyDescent="0.3">
      <c r="A143" s="11">
        <v>34.75</v>
      </c>
      <c r="B143" s="12">
        <v>158.88999999999999</v>
      </c>
      <c r="C143" s="12">
        <v>248.74</v>
      </c>
      <c r="D143" s="12">
        <v>186.26</v>
      </c>
      <c r="E143" s="12">
        <v>252.67</v>
      </c>
    </row>
    <row r="144" spans="1:5" x14ac:dyDescent="0.3">
      <c r="A144" s="11">
        <v>35</v>
      </c>
      <c r="B144" s="12">
        <v>154.27000000000001</v>
      </c>
      <c r="C144" s="12">
        <v>242.54</v>
      </c>
      <c r="D144" s="12">
        <v>183.2</v>
      </c>
      <c r="E144" s="12">
        <v>247.8</v>
      </c>
    </row>
    <row r="145" spans="1:5" x14ac:dyDescent="0.3">
      <c r="A145" s="11">
        <v>35.25</v>
      </c>
      <c r="B145" s="12">
        <v>172.13</v>
      </c>
      <c r="C145" s="12">
        <v>258.7</v>
      </c>
      <c r="D145" s="12">
        <v>191.06</v>
      </c>
      <c r="E145" s="12">
        <v>242.65</v>
      </c>
    </row>
    <row r="146" spans="1:5" x14ac:dyDescent="0.3">
      <c r="A146" s="11">
        <v>35.5</v>
      </c>
      <c r="B146" s="12">
        <v>186.67</v>
      </c>
      <c r="C146" s="12">
        <v>271.44</v>
      </c>
      <c r="D146" s="12">
        <v>197.01</v>
      </c>
      <c r="E146" s="12">
        <v>237.3</v>
      </c>
    </row>
    <row r="147" spans="1:5" x14ac:dyDescent="0.3">
      <c r="A147" s="11">
        <v>35.75</v>
      </c>
      <c r="B147" s="12">
        <v>198.31</v>
      </c>
      <c r="C147" s="12">
        <v>281.20999999999998</v>
      </c>
      <c r="D147" s="12">
        <v>201.28</v>
      </c>
      <c r="E147" s="12">
        <v>231.78</v>
      </c>
    </row>
    <row r="148" spans="1:5" x14ac:dyDescent="0.3">
      <c r="A148" s="11">
        <v>36</v>
      </c>
      <c r="B148" s="12">
        <v>207.44</v>
      </c>
      <c r="C148" s="12">
        <v>288.42</v>
      </c>
      <c r="D148" s="12">
        <v>204.12</v>
      </c>
      <c r="E148" s="12">
        <v>226.15</v>
      </c>
    </row>
    <row r="149" spans="1:5" x14ac:dyDescent="0.3">
      <c r="A149" s="11">
        <v>36.25</v>
      </c>
      <c r="B149" s="12">
        <v>214.4</v>
      </c>
      <c r="C149" s="12">
        <v>293.41000000000003</v>
      </c>
      <c r="D149" s="12">
        <v>205.72</v>
      </c>
      <c r="E149" s="12">
        <v>242.86</v>
      </c>
    </row>
    <row r="150" spans="1:5" x14ac:dyDescent="0.3">
      <c r="A150" s="11">
        <v>36.5</v>
      </c>
      <c r="B150" s="12">
        <v>219.47</v>
      </c>
      <c r="C150" s="12">
        <v>296.48</v>
      </c>
      <c r="D150" s="12">
        <v>206.27</v>
      </c>
      <c r="E150" s="12">
        <v>256.14</v>
      </c>
    </row>
    <row r="151" spans="1:5" x14ac:dyDescent="0.3">
      <c r="A151" s="11">
        <v>36.75</v>
      </c>
      <c r="B151" s="12">
        <v>222.91</v>
      </c>
      <c r="C151" s="12">
        <v>297.92</v>
      </c>
      <c r="D151" s="12">
        <v>205.9</v>
      </c>
      <c r="E151" s="12">
        <v>266.43</v>
      </c>
    </row>
    <row r="152" spans="1:5" x14ac:dyDescent="0.3">
      <c r="A152" s="11">
        <v>37</v>
      </c>
      <c r="B152" s="12">
        <v>224.95</v>
      </c>
      <c r="C152" s="12">
        <v>297.95</v>
      </c>
      <c r="D152" s="12">
        <v>204.77</v>
      </c>
      <c r="E152" s="12">
        <v>274.13</v>
      </c>
    </row>
    <row r="153" spans="1:5" x14ac:dyDescent="0.3">
      <c r="A153" s="11">
        <v>37.25</v>
      </c>
      <c r="B153" s="12">
        <v>225.79</v>
      </c>
      <c r="C153" s="12">
        <v>296.79000000000002</v>
      </c>
      <c r="D153" s="12">
        <v>202.98</v>
      </c>
      <c r="E153" s="12">
        <v>279.60000000000002</v>
      </c>
    </row>
    <row r="154" spans="1:5" x14ac:dyDescent="0.3">
      <c r="A154" s="11">
        <v>37.5</v>
      </c>
      <c r="B154" s="12">
        <v>225.61</v>
      </c>
      <c r="C154" s="12">
        <v>294.61</v>
      </c>
      <c r="D154" s="12">
        <v>200.65</v>
      </c>
      <c r="E154" s="12">
        <v>283.14999999999998</v>
      </c>
    </row>
    <row r="155" spans="1:5" x14ac:dyDescent="0.3">
      <c r="A155" s="11">
        <v>37.75</v>
      </c>
      <c r="B155" s="12">
        <v>224.54</v>
      </c>
      <c r="C155" s="12">
        <v>291.57</v>
      </c>
      <c r="D155" s="12">
        <v>197.86</v>
      </c>
      <c r="E155" s="12">
        <v>285.04000000000002</v>
      </c>
    </row>
    <row r="156" spans="1:5" x14ac:dyDescent="0.3">
      <c r="A156" s="11">
        <v>38</v>
      </c>
      <c r="B156" s="12">
        <v>222.74</v>
      </c>
      <c r="C156" s="12">
        <v>287.81</v>
      </c>
      <c r="D156" s="12">
        <v>194.68</v>
      </c>
      <c r="E156" s="12">
        <v>285.51</v>
      </c>
    </row>
    <row r="157" spans="1:5" x14ac:dyDescent="0.3">
      <c r="A157" s="11">
        <v>38.25</v>
      </c>
      <c r="B157" s="12">
        <v>220.31</v>
      </c>
      <c r="C157" s="12">
        <v>283.45999999999998</v>
      </c>
      <c r="D157" s="12">
        <v>202.41</v>
      </c>
      <c r="E157" s="12">
        <v>284.76</v>
      </c>
    </row>
    <row r="158" spans="1:5" x14ac:dyDescent="0.3">
      <c r="A158" s="11">
        <v>38.5</v>
      </c>
      <c r="B158" s="12">
        <v>217.36</v>
      </c>
      <c r="C158" s="12">
        <v>278.61</v>
      </c>
      <c r="D158" s="12">
        <v>208.18</v>
      </c>
      <c r="E158" s="12">
        <v>282.99</v>
      </c>
    </row>
    <row r="159" spans="1:5" x14ac:dyDescent="0.3">
      <c r="A159" s="11">
        <v>38.75</v>
      </c>
      <c r="B159" s="12">
        <v>213.97</v>
      </c>
      <c r="C159" s="12">
        <v>273.36</v>
      </c>
      <c r="D159" s="12">
        <v>212.27</v>
      </c>
      <c r="E159" s="12">
        <v>280.35000000000002</v>
      </c>
    </row>
    <row r="160" spans="1:5" x14ac:dyDescent="0.3">
      <c r="A160" s="11">
        <v>39</v>
      </c>
      <c r="B160" s="12">
        <v>210.23</v>
      </c>
      <c r="C160" s="12">
        <v>267.8</v>
      </c>
      <c r="D160" s="12">
        <v>214.91</v>
      </c>
      <c r="E160" s="12">
        <v>276.97000000000003</v>
      </c>
    </row>
    <row r="161" spans="1:5" x14ac:dyDescent="0.3">
      <c r="A161" s="11">
        <v>39.25</v>
      </c>
      <c r="B161" s="12">
        <v>206.19</v>
      </c>
      <c r="C161" s="12">
        <v>261.98</v>
      </c>
      <c r="D161" s="12">
        <v>216.3</v>
      </c>
      <c r="E161" s="12">
        <v>272.98</v>
      </c>
    </row>
    <row r="162" spans="1:5" x14ac:dyDescent="0.3">
      <c r="A162" s="11">
        <v>39.5</v>
      </c>
      <c r="B162" s="12">
        <v>201.93</v>
      </c>
      <c r="C162" s="12">
        <v>255.97</v>
      </c>
      <c r="D162" s="12">
        <v>216.61</v>
      </c>
      <c r="E162" s="12">
        <v>268.49</v>
      </c>
    </row>
    <row r="163" spans="1:5" x14ac:dyDescent="0.3">
      <c r="A163" s="11">
        <v>39.75</v>
      </c>
      <c r="B163" s="12">
        <v>197.49</v>
      </c>
      <c r="C163" s="12">
        <v>249.83</v>
      </c>
      <c r="D163" s="12">
        <v>216.01</v>
      </c>
      <c r="E163" s="12">
        <v>263.58999999999997</v>
      </c>
    </row>
    <row r="164" spans="1:5" x14ac:dyDescent="0.3">
      <c r="A164" s="11">
        <v>40</v>
      </c>
      <c r="B164" s="12">
        <v>192.91</v>
      </c>
      <c r="C164" s="12">
        <v>243.59</v>
      </c>
      <c r="D164" s="12">
        <v>214.64</v>
      </c>
      <c r="E164" s="12">
        <v>258.35000000000002</v>
      </c>
    </row>
    <row r="165" spans="1:5" x14ac:dyDescent="0.3">
      <c r="A165" s="11">
        <v>40.25</v>
      </c>
      <c r="B165" s="12">
        <v>188.24</v>
      </c>
      <c r="C165" s="12">
        <v>237.3</v>
      </c>
      <c r="D165" s="12">
        <v>212.61</v>
      </c>
      <c r="E165" s="12">
        <v>252.86</v>
      </c>
    </row>
    <row r="166" spans="1:5" x14ac:dyDescent="0.3">
      <c r="A166" s="11">
        <v>40.5</v>
      </c>
      <c r="B166" s="12">
        <v>183.5</v>
      </c>
      <c r="C166" s="12">
        <v>230.98</v>
      </c>
      <c r="D166" s="12">
        <v>210.03</v>
      </c>
      <c r="E166" s="12">
        <v>247.16</v>
      </c>
    </row>
    <row r="167" spans="1:5" x14ac:dyDescent="0.3">
      <c r="A167" s="11">
        <v>40.75</v>
      </c>
      <c r="B167" s="12">
        <v>178.73</v>
      </c>
      <c r="C167" s="12">
        <v>224.68</v>
      </c>
      <c r="D167" s="12">
        <v>206.99</v>
      </c>
      <c r="E167" s="12">
        <v>241.32</v>
      </c>
    </row>
    <row r="168" spans="1:5" x14ac:dyDescent="0.3">
      <c r="A168" s="11">
        <v>41</v>
      </c>
      <c r="B168" s="12">
        <v>173.94</v>
      </c>
      <c r="C168" s="12">
        <v>218.4</v>
      </c>
      <c r="D168" s="12">
        <v>203.57</v>
      </c>
      <c r="E168" s="12">
        <v>235.37</v>
      </c>
    </row>
    <row r="169" spans="1:5" x14ac:dyDescent="0.3">
      <c r="A169" s="11">
        <v>41.25</v>
      </c>
      <c r="B169" s="12">
        <v>169.17</v>
      </c>
      <c r="C169" s="12">
        <v>212.18</v>
      </c>
      <c r="D169" s="12">
        <v>199.84</v>
      </c>
      <c r="E169" s="12">
        <v>251.77</v>
      </c>
    </row>
    <row r="170" spans="1:5" x14ac:dyDescent="0.3">
      <c r="A170" s="11">
        <v>41.5</v>
      </c>
      <c r="B170" s="12">
        <v>164.42</v>
      </c>
      <c r="C170" s="12">
        <v>206.02</v>
      </c>
      <c r="D170" s="12">
        <v>195.86</v>
      </c>
      <c r="E170" s="12">
        <v>264.75</v>
      </c>
    </row>
    <row r="171" spans="1:5" x14ac:dyDescent="0.3">
      <c r="A171" s="11">
        <v>41.75</v>
      </c>
      <c r="B171" s="12">
        <v>159.72</v>
      </c>
      <c r="C171" s="12">
        <v>199.95</v>
      </c>
      <c r="D171" s="12">
        <v>191.68</v>
      </c>
      <c r="E171" s="12">
        <v>274.75</v>
      </c>
    </row>
    <row r="172" spans="1:5" x14ac:dyDescent="0.3">
      <c r="A172" s="11">
        <v>42</v>
      </c>
      <c r="B172" s="12">
        <v>155.07</v>
      </c>
      <c r="C172" s="12">
        <v>193.98</v>
      </c>
      <c r="D172" s="12">
        <v>187.35</v>
      </c>
      <c r="E172" s="12">
        <v>282.17</v>
      </c>
    </row>
    <row r="173" spans="1:5" x14ac:dyDescent="0.3">
      <c r="A173" s="11">
        <v>42.25</v>
      </c>
      <c r="B173" s="12">
        <v>150.47999999999999</v>
      </c>
      <c r="C173" s="12">
        <v>188.11</v>
      </c>
      <c r="D173" s="12">
        <v>194.12</v>
      </c>
      <c r="E173" s="12">
        <v>287.37</v>
      </c>
    </row>
    <row r="174" spans="1:5" x14ac:dyDescent="0.3">
      <c r="A174" s="11">
        <v>42.5</v>
      </c>
      <c r="B174" s="12">
        <v>145.97</v>
      </c>
      <c r="C174" s="12">
        <v>182.35</v>
      </c>
      <c r="D174" s="12">
        <v>199.11</v>
      </c>
      <c r="E174" s="12">
        <v>290.66000000000003</v>
      </c>
    </row>
    <row r="175" spans="1:5" x14ac:dyDescent="0.3">
      <c r="A175" s="11">
        <v>42.75</v>
      </c>
      <c r="B175" s="12">
        <v>141.54</v>
      </c>
      <c r="C175" s="12">
        <v>176.71</v>
      </c>
      <c r="D175" s="12">
        <v>202.57</v>
      </c>
      <c r="E175" s="12">
        <v>292.29000000000002</v>
      </c>
    </row>
    <row r="176" spans="1:5" x14ac:dyDescent="0.3">
      <c r="A176" s="11">
        <v>43</v>
      </c>
      <c r="B176" s="12">
        <v>137.19999999999999</v>
      </c>
      <c r="C176" s="12">
        <v>171.2</v>
      </c>
      <c r="D176" s="12">
        <v>204.71</v>
      </c>
      <c r="E176" s="12">
        <v>292.52</v>
      </c>
    </row>
    <row r="177" spans="1:5" x14ac:dyDescent="0.3">
      <c r="A177" s="11">
        <v>43.25</v>
      </c>
      <c r="B177" s="12">
        <v>132.94999999999999</v>
      </c>
      <c r="C177" s="12">
        <v>165.81</v>
      </c>
      <c r="D177" s="12">
        <v>205.72</v>
      </c>
      <c r="E177" s="12">
        <v>291.54000000000002</v>
      </c>
    </row>
    <row r="178" spans="1:5" x14ac:dyDescent="0.3">
      <c r="A178" s="11">
        <v>43.5</v>
      </c>
      <c r="B178" s="12">
        <v>128.80000000000001</v>
      </c>
      <c r="C178" s="12">
        <v>160.56</v>
      </c>
      <c r="D178" s="12">
        <v>205.75</v>
      </c>
      <c r="E178" s="12">
        <v>289.52999999999997</v>
      </c>
    </row>
    <row r="179" spans="1:5" x14ac:dyDescent="0.3">
      <c r="A179" s="11">
        <v>43.75</v>
      </c>
      <c r="B179" s="12">
        <v>124.74</v>
      </c>
      <c r="C179" s="12">
        <v>155.44</v>
      </c>
      <c r="D179" s="12">
        <v>204.95</v>
      </c>
      <c r="E179" s="12">
        <v>286.67</v>
      </c>
    </row>
    <row r="180" spans="1:5" x14ac:dyDescent="0.3">
      <c r="A180" s="11">
        <v>44</v>
      </c>
      <c r="B180" s="12">
        <v>120.78</v>
      </c>
      <c r="C180" s="12">
        <v>150.44999999999999</v>
      </c>
      <c r="D180" s="12">
        <v>203.45</v>
      </c>
      <c r="E180" s="12">
        <v>283.08</v>
      </c>
    </row>
    <row r="181" spans="1:5" x14ac:dyDescent="0.3">
      <c r="A181" s="11">
        <v>44.25</v>
      </c>
      <c r="B181" s="12">
        <v>116.92</v>
      </c>
      <c r="C181" s="12">
        <v>145.6</v>
      </c>
      <c r="D181" s="12">
        <v>201.36</v>
      </c>
      <c r="E181" s="12">
        <v>278.88</v>
      </c>
    </row>
    <row r="182" spans="1:5" x14ac:dyDescent="0.3">
      <c r="A182" s="11">
        <v>44.5</v>
      </c>
      <c r="B182" s="12">
        <v>113.17</v>
      </c>
      <c r="C182" s="12">
        <v>140.88</v>
      </c>
      <c r="D182" s="12">
        <v>198.77</v>
      </c>
      <c r="E182" s="12">
        <v>274.19</v>
      </c>
    </row>
    <row r="183" spans="1:5" x14ac:dyDescent="0.3">
      <c r="A183" s="11">
        <v>44.75</v>
      </c>
      <c r="B183" s="12">
        <v>109.51</v>
      </c>
      <c r="C183" s="12">
        <v>136.29</v>
      </c>
      <c r="D183" s="12">
        <v>195.77</v>
      </c>
      <c r="E183" s="12">
        <v>269.10000000000002</v>
      </c>
    </row>
    <row r="184" spans="1:5" x14ac:dyDescent="0.3">
      <c r="A184" s="11">
        <v>45</v>
      </c>
      <c r="B184" s="12">
        <v>105.96</v>
      </c>
      <c r="C184" s="12">
        <v>131.84</v>
      </c>
      <c r="D184" s="12">
        <v>192.43</v>
      </c>
      <c r="E184" s="12">
        <v>263.68</v>
      </c>
    </row>
    <row r="185" spans="1:5" x14ac:dyDescent="0.3">
      <c r="A185" s="11">
        <v>45.25</v>
      </c>
      <c r="B185" s="12">
        <v>102.51</v>
      </c>
      <c r="C185" s="12">
        <v>127.51</v>
      </c>
      <c r="D185" s="12">
        <v>188.81</v>
      </c>
      <c r="E185" s="12">
        <v>258</v>
      </c>
    </row>
    <row r="186" spans="1:5" x14ac:dyDescent="0.3">
      <c r="A186" s="11">
        <v>45.5</v>
      </c>
      <c r="B186" s="12">
        <v>99.15</v>
      </c>
      <c r="C186" s="12">
        <v>123.31</v>
      </c>
      <c r="D186" s="12">
        <v>184.96</v>
      </c>
      <c r="E186" s="12">
        <v>252.13</v>
      </c>
    </row>
    <row r="187" spans="1:5" x14ac:dyDescent="0.3">
      <c r="A187" s="11">
        <v>45.75</v>
      </c>
      <c r="B187" s="12">
        <v>95.89</v>
      </c>
      <c r="C187" s="12">
        <v>119.24</v>
      </c>
      <c r="D187" s="12">
        <v>180.95</v>
      </c>
      <c r="E187" s="12">
        <v>246.11</v>
      </c>
    </row>
    <row r="188" spans="1:5" x14ac:dyDescent="0.3">
      <c r="A188" s="11">
        <v>46</v>
      </c>
      <c r="B188" s="12">
        <v>92.74</v>
      </c>
      <c r="C188" s="12">
        <v>115.29</v>
      </c>
      <c r="D188" s="12">
        <v>176.8</v>
      </c>
      <c r="E188" s="12">
        <v>240</v>
      </c>
    </row>
    <row r="189" spans="1:5" x14ac:dyDescent="0.3">
      <c r="A189" s="11">
        <v>46.25</v>
      </c>
      <c r="B189" s="12">
        <v>89.67</v>
      </c>
      <c r="C189" s="12">
        <v>111.46</v>
      </c>
      <c r="D189" s="12">
        <v>172.56</v>
      </c>
      <c r="E189" s="12">
        <v>233.83</v>
      </c>
    </row>
    <row r="190" spans="1:5" x14ac:dyDescent="0.3">
      <c r="A190" s="11">
        <v>46.5</v>
      </c>
      <c r="B190" s="12">
        <v>86.7</v>
      </c>
      <c r="C190" s="12">
        <v>107.75</v>
      </c>
      <c r="D190" s="12">
        <v>168.25</v>
      </c>
      <c r="E190" s="12">
        <v>227.63</v>
      </c>
    </row>
    <row r="191" spans="1:5" x14ac:dyDescent="0.3">
      <c r="A191" s="11">
        <v>46.75</v>
      </c>
      <c r="B191" s="12">
        <v>83.82</v>
      </c>
      <c r="C191" s="12">
        <v>104.16</v>
      </c>
      <c r="D191" s="12">
        <v>163.91</v>
      </c>
      <c r="E191" s="12">
        <v>221.44</v>
      </c>
    </row>
    <row r="192" spans="1:5" x14ac:dyDescent="0.3">
      <c r="A192" s="11">
        <v>47</v>
      </c>
      <c r="B192" s="12">
        <v>81.03</v>
      </c>
      <c r="C192" s="12">
        <v>100.68</v>
      </c>
      <c r="D192" s="12">
        <v>159.55000000000001</v>
      </c>
      <c r="E192" s="12">
        <v>215.28</v>
      </c>
    </row>
    <row r="193" spans="1:5" x14ac:dyDescent="0.3">
      <c r="A193" s="11">
        <v>47.25</v>
      </c>
      <c r="B193" s="12">
        <v>78.33</v>
      </c>
      <c r="C193" s="12">
        <v>97.31</v>
      </c>
      <c r="D193" s="12">
        <v>155.19</v>
      </c>
      <c r="E193" s="12">
        <v>209.16</v>
      </c>
    </row>
    <row r="194" spans="1:5" x14ac:dyDescent="0.3">
      <c r="A194" s="11">
        <v>47.5</v>
      </c>
      <c r="B194" s="12">
        <v>75.709999999999994</v>
      </c>
      <c r="C194" s="12">
        <v>94.05</v>
      </c>
      <c r="D194" s="12">
        <v>150.86000000000001</v>
      </c>
      <c r="E194" s="12">
        <v>203.11</v>
      </c>
    </row>
    <row r="195" spans="1:5" x14ac:dyDescent="0.3">
      <c r="A195" s="11">
        <v>47.75</v>
      </c>
      <c r="B195" s="12">
        <v>73.17</v>
      </c>
      <c r="C195" s="12">
        <v>90.89</v>
      </c>
      <c r="D195" s="12">
        <v>146.56</v>
      </c>
      <c r="E195" s="12">
        <v>197.14</v>
      </c>
    </row>
    <row r="196" spans="1:5" x14ac:dyDescent="0.3">
      <c r="A196" s="11">
        <v>48</v>
      </c>
      <c r="B196" s="12">
        <v>70.72</v>
      </c>
      <c r="C196" s="12">
        <v>87.84</v>
      </c>
      <c r="D196" s="12">
        <v>142.31</v>
      </c>
      <c r="E196" s="12">
        <v>191.26</v>
      </c>
    </row>
    <row r="197" spans="1:5" x14ac:dyDescent="0.3">
      <c r="A197" s="11">
        <v>48.25</v>
      </c>
      <c r="B197" s="12">
        <v>68.349999999999994</v>
      </c>
      <c r="C197" s="12">
        <v>84.88</v>
      </c>
      <c r="D197" s="12">
        <v>138.12</v>
      </c>
      <c r="E197" s="12">
        <v>185.48</v>
      </c>
    </row>
    <row r="198" spans="1:5" x14ac:dyDescent="0.3">
      <c r="A198" s="11">
        <v>48.5</v>
      </c>
      <c r="B198" s="12">
        <v>66.05</v>
      </c>
      <c r="C198" s="12">
        <v>82.03</v>
      </c>
      <c r="D198" s="12">
        <v>133.99</v>
      </c>
      <c r="E198" s="12">
        <v>179.81</v>
      </c>
    </row>
    <row r="199" spans="1:5" x14ac:dyDescent="0.3">
      <c r="A199" s="11">
        <v>48.75</v>
      </c>
      <c r="B199" s="12">
        <v>63.83</v>
      </c>
      <c r="C199" s="12">
        <v>79.260000000000005</v>
      </c>
      <c r="D199" s="12">
        <v>129.94</v>
      </c>
      <c r="E199" s="12">
        <v>174.26</v>
      </c>
    </row>
    <row r="200" spans="1:5" x14ac:dyDescent="0.3">
      <c r="A200" s="11">
        <v>49</v>
      </c>
      <c r="B200" s="12">
        <v>61.68</v>
      </c>
      <c r="C200" s="12">
        <v>76.59</v>
      </c>
      <c r="D200" s="12">
        <v>125.96</v>
      </c>
      <c r="E200" s="12">
        <v>168.83</v>
      </c>
    </row>
  </sheetData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activeCell="H6" sqref="H6"/>
    </sheetView>
  </sheetViews>
  <sheetFormatPr defaultRowHeight="14.4" x14ac:dyDescent="0.3"/>
  <cols>
    <col min="1" max="1" width="28" customWidth="1"/>
    <col min="2" max="8" width="16" customWidth="1"/>
  </cols>
  <sheetData>
    <row r="1" spans="1:8" ht="18" x14ac:dyDescent="0.35">
      <c r="A1" s="15" t="s">
        <v>23</v>
      </c>
      <c r="B1" s="14"/>
      <c r="C1" s="14"/>
      <c r="D1" s="14"/>
      <c r="E1" s="14"/>
      <c r="F1" s="14"/>
      <c r="G1" s="14"/>
      <c r="H1" s="14"/>
    </row>
    <row r="3" spans="1:8" ht="31.2" x14ac:dyDescent="0.3">
      <c r="A3" s="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</row>
    <row r="4" spans="1:8" x14ac:dyDescent="0.3">
      <c r="A4" s="7" t="s">
        <v>19</v>
      </c>
      <c r="B4" s="7">
        <v>15</v>
      </c>
      <c r="C4" s="7">
        <v>6</v>
      </c>
      <c r="D4" s="7">
        <v>2.5</v>
      </c>
      <c r="E4" s="7">
        <v>225.8</v>
      </c>
      <c r="F4" s="7">
        <v>93.7</v>
      </c>
      <c r="G4" s="7">
        <v>2.41</v>
      </c>
      <c r="H4" s="7" t="s">
        <v>32</v>
      </c>
    </row>
    <row r="5" spans="1:8" x14ac:dyDescent="0.3">
      <c r="A5" s="7" t="s">
        <v>20</v>
      </c>
      <c r="B5" s="7">
        <v>20</v>
      </c>
      <c r="C5" s="7">
        <v>8</v>
      </c>
      <c r="D5" s="7">
        <v>3.33</v>
      </c>
      <c r="E5" s="7">
        <v>298.10000000000002</v>
      </c>
      <c r="F5" s="7">
        <v>177.6</v>
      </c>
      <c r="G5" s="7">
        <v>1.68</v>
      </c>
      <c r="H5" s="7" t="s">
        <v>33</v>
      </c>
    </row>
    <row r="6" spans="1:8" x14ac:dyDescent="0.3">
      <c r="A6" s="7" t="s">
        <v>21</v>
      </c>
      <c r="B6" s="7">
        <v>16.2</v>
      </c>
      <c r="C6" s="7">
        <v>13</v>
      </c>
      <c r="D6" s="7">
        <v>2.71</v>
      </c>
      <c r="E6" s="7">
        <v>216.6</v>
      </c>
      <c r="F6" s="7">
        <v>105.5</v>
      </c>
      <c r="G6" s="7">
        <v>2.0499999999999998</v>
      </c>
      <c r="H6" s="7" t="s">
        <v>33</v>
      </c>
    </row>
    <row r="7" spans="1:8" x14ac:dyDescent="0.3">
      <c r="A7" s="7" t="s">
        <v>22</v>
      </c>
      <c r="B7" s="7">
        <v>20</v>
      </c>
      <c r="C7" s="7">
        <v>8</v>
      </c>
      <c r="D7" s="7">
        <v>3.33</v>
      </c>
      <c r="E7" s="7">
        <v>285.5</v>
      </c>
      <c r="F7" s="7">
        <v>93.7</v>
      </c>
      <c r="G7" s="7">
        <v>3.05</v>
      </c>
      <c r="H7" s="7" t="s">
        <v>34</v>
      </c>
    </row>
    <row r="10" spans="1:8" x14ac:dyDescent="0.3">
      <c r="A10" s="9" t="s">
        <v>35</v>
      </c>
    </row>
    <row r="11" spans="1:8" x14ac:dyDescent="0.3">
      <c r="A11" t="s">
        <v>36</v>
      </c>
    </row>
    <row r="12" spans="1:8" x14ac:dyDescent="0.3">
      <c r="A12" t="s">
        <v>37</v>
      </c>
    </row>
    <row r="13" spans="1:8" x14ac:dyDescent="0.3">
      <c r="A13" t="s">
        <v>38</v>
      </c>
    </row>
    <row r="15" spans="1:8" x14ac:dyDescent="0.3">
      <c r="A15" s="9" t="s">
        <v>39</v>
      </c>
    </row>
    <row r="16" spans="1:8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1" spans="1:1" x14ac:dyDescent="0.3">
      <c r="A21" s="9" t="s">
        <v>44</v>
      </c>
    </row>
    <row r="22" spans="1:1" x14ac:dyDescent="0.3">
      <c r="A22" t="s">
        <v>45</v>
      </c>
    </row>
    <row r="23" spans="1:1" x14ac:dyDescent="0.3">
      <c r="A23" t="s">
        <v>46</v>
      </c>
    </row>
    <row r="24" spans="1:1" x14ac:dyDescent="0.3">
      <c r="A24" t="s">
        <v>47</v>
      </c>
    </row>
    <row r="25" spans="1:1" x14ac:dyDescent="0.3">
      <c r="A25" t="s">
        <v>48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Dose Schedule</vt:lpstr>
      <vt:lpstr>Scenario Comparison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Donnie Clapp</cp:lastModifiedBy>
  <dcterms:created xsi:type="dcterms:W3CDTF">2026-04-01T20:13:48Z</dcterms:created>
  <dcterms:modified xsi:type="dcterms:W3CDTF">2026-04-03T23:50:18Z</dcterms:modified>
</cp:coreProperties>
</file>